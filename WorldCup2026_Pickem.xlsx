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Teams" sheetId="3" state="visible" r:id="rId5"/>
    <sheet name="Group Picks" sheetId="4" state="visible" r:id="rId6"/>
    <sheet name="Knockout Picks" sheetId="5" state="visible" r:id="rId7"/>
    <sheet name="Results" sheetId="6" state="visible" r:id="rId8"/>
    <sheet name="Group Leaderboard" sheetId="7" state="visible" r:id="rId9"/>
    <sheet name="Knockout Leaderboard" sheetId="8" state="visible" r:id="rId10"/>
    <sheet name="Payout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<sst xmlns="http://schemas.openxmlformats.org/spreadsheetml/2006/main" count="388" uniqueCount="191">
  <si>
    <t xml:space="preserve">WORLD CUP 2026 PICK'EM  —  START HERE</t>
  </si>
  <si>
    <t xml:space="preserve">How it works</t>
  </si>
  <si>
    <t xml:space="preserve">Two separate contests, two buy-ins, two pots, two winners:</t>
  </si>
  <si>
    <t xml:space="preserve">   • GROUP pool — pick the winner of all 12 groups, the single WORST team of the group stage, and total group goals (tiebreaker). Winner takes the whole group pot. Locks at 1st kickoff, June 11.</t>
  </si>
  <si>
    <t xml:space="preserve">   • KNOCKOUT pool — a fresh buy-in. After the Round of 32 is set (~June 27), pick the winner of every knockout match. Most total points takes the whole knockout pot.</t>
  </si>
  <si>
    <t xml:space="preserve">Scoring, leaderboards and payouts calculate automatically. You only enter results on the Results tab.</t>
  </si>
  <si>
    <t xml:space="preserve">The tabs</t>
  </si>
  <si>
    <t xml:space="preserve">   Settings  ........  point values, buy-ins, payouts (yellow cells)</t>
  </si>
  <si>
    <t xml:space="preserve">   Teams  ...........  the 12 groups (verify vs FIFA) — reference for your Group form</t>
  </si>
  <si>
    <t xml:space="preserve">   Group Picks  .....  one row per person (winners + worst team + goals); Form responses land here</t>
  </si>
  <si>
    <t xml:space="preserve">   Knockout Picks  ..  one row per person; built after the group stage</t>
  </si>
  <si>
    <t xml:space="preserve">   Results  .........  YOU enter actual outcomes here (group winners, worst team, knockout results)</t>
  </si>
  <si>
    <t xml:space="preserve">   Group / Knockout Leaderboard  ..  auto-ranked standings + the winner</t>
  </si>
  <si>
    <t xml:space="preserve">   Payouts  .........  the two pots and who gets paid, auto-calculated</t>
  </si>
  <si>
    <t xml:space="preserve">Collecting picks for free (Google Forms → this sheet)</t>
  </si>
  <si>
    <t xml:space="preserve">1. In Google Forms, make a GROUP form: short-answer 'Name', a multiple-choice question per group (paste the 4 teams from Teams), a question for 'Worst team', and a number question 'Total group goals'.</t>
  </si>
  <si>
    <t xml:space="preserve">2. In the form's Responses tab, click the Sheets icon → 'Select existing spreadsheet' → this file. Responses flow in automatically.</t>
  </si>
  <si>
    <t xml:space="preserve">3. Copy each response's answers into the matching columns of Group Picks (question order = column order).</t>
  </si>
  <si>
    <t xml:space="preserve">4. After June 27, build a KNOCKOUT form the same way: one question per match, feeding Knockout Picks.</t>
  </si>
  <si>
    <t xml:space="preserve">5. Share THIS workbook 'View only' (Share → Anyone with link → Viewer) as the public scoreboard.</t>
  </si>
  <si>
    <t xml:space="preserve">Timing (tight!)</t>
  </si>
  <si>
    <t xml:space="preserve">   Group picks lock June 11 (first kickoff). Group stage ends June 27. Knockout starts June 28.</t>
  </si>
  <si>
    <t xml:space="preserve">   That ~24h gap is why the knockout is a separate buy-in — pre-build the form June 27, send it, lock June 28.</t>
  </si>
  <si>
    <t xml:space="preserve">Before you go live</t>
  </si>
  <si>
    <t xml:space="preserve">   • Verify the groups on Teams against FIFA's official site.</t>
  </si>
  <si>
    <t xml:space="preserve">   • Delete the shaded SAMPLE rows on Group Picks / Knockout Picks and clear the sample Results values.</t>
  </si>
  <si>
    <t xml:space="preserve">   • Set buy-ins and point values on Settings. If two people tie, split that pot.</t>
  </si>
  <si>
    <t xml:space="preserve">Heads-up: pooling money may be subject to local laws / workplace policy. Keep it friendly and check before collecting.</t>
  </si>
  <si>
    <t xml:space="preserve">SETTINGS  —  edit the yellow cells only</t>
  </si>
  <si>
    <t xml:space="preserve">Yellow = you change these. Everything else calculates automatically.</t>
  </si>
  <si>
    <t xml:space="preserve">Group-stage scoring</t>
  </si>
  <si>
    <t xml:space="preserve">Points per correct group winner (×12 groups)</t>
  </si>
  <si>
    <t xml:space="preserve">Points for correct WORST team (1 pick)</t>
  </si>
  <si>
    <t xml:space="preserve">the single worst team of the whole group stage</t>
  </si>
  <si>
    <t xml:space="preserve">Group pot tiebreaker = closest predicted total group goals</t>
  </si>
  <si>
    <t xml:space="preserve">Knockout scoring  (points per correct match pick)</t>
  </si>
  <si>
    <t xml:space="preserve">Round of 32  (16 matches)</t>
  </si>
  <si>
    <t xml:space="preserve">Round of 16  (8 matches)</t>
  </si>
  <si>
    <t xml:space="preserve">Quarterfinal (4 matches)</t>
  </si>
  <si>
    <t xml:space="preserve">Semifinal   (2 matches)</t>
  </si>
  <si>
    <t xml:space="preserve">Final       (1 match)</t>
  </si>
  <si>
    <t xml:space="preserve">Want every pick to count the same? Set all five to 1.</t>
  </si>
  <si>
    <t xml:space="preserve">Money — buy-ins</t>
  </si>
  <si>
    <t xml:space="preserve">Group buy-in per person ($)</t>
  </si>
  <si>
    <t xml:space="preserve">Knockout buy-in per person ($)</t>
  </si>
  <si>
    <t xml:space="preserve">(Each pot = buy-in × number of entrants, counted automatically.)</t>
  </si>
  <si>
    <t xml:space="preserve">Money — payouts</t>
  </si>
  <si>
    <t xml:space="preserve">Group pot</t>
  </si>
  <si>
    <t xml:space="preserve">WINNER TAKES ALL</t>
  </si>
  <si>
    <t xml:space="preserve">Knockout pot</t>
  </si>
  <si>
    <t xml:space="preserve">Two pools → two winners → two pots.</t>
  </si>
  <si>
    <t xml:space="preserve">GROUPS &amp; TEAMS  (reference for your Group form dropdowns)</t>
  </si>
  <si>
    <t xml:space="preserve">⚠ Verify against FIFA's official site before locking picks — money's involved. Edit any team here if the draw differs.</t>
  </si>
  <si>
    <t xml:space="preserve">Group</t>
  </si>
  <si>
    <t xml:space="preserve">Team 1</t>
  </si>
  <si>
    <t xml:space="preserve">Team 2</t>
  </si>
  <si>
    <t xml:space="preserve">Team 3</t>
  </si>
  <si>
    <t xml:space="preserve">Team 4</t>
  </si>
  <si>
    <t xml:space="preserve">Group A</t>
  </si>
  <si>
    <t xml:space="preserve">Mexico</t>
  </si>
  <si>
    <t xml:space="preserve">South Africa</t>
  </si>
  <si>
    <t xml:space="preserve">South Korea</t>
  </si>
  <si>
    <t xml:space="preserve">Czechia</t>
  </si>
  <si>
    <t xml:space="preserve">Group B</t>
  </si>
  <si>
    <t xml:space="preserve">Canada</t>
  </si>
  <si>
    <t xml:space="preserve">Bosnia and Herzegovina</t>
  </si>
  <si>
    <t xml:space="preserve">Qatar</t>
  </si>
  <si>
    <t xml:space="preserve">Switzerland</t>
  </si>
  <si>
    <t xml:space="preserve">Group C</t>
  </si>
  <si>
    <t xml:space="preserve">Brazil</t>
  </si>
  <si>
    <t xml:space="preserve">Morocco</t>
  </si>
  <si>
    <t xml:space="preserve">Haiti</t>
  </si>
  <si>
    <t xml:space="preserve">Scotland</t>
  </si>
  <si>
    <t xml:space="preserve">Group D</t>
  </si>
  <si>
    <t xml:space="preserve">United States</t>
  </si>
  <si>
    <t xml:space="preserve">Paraguay</t>
  </si>
  <si>
    <t xml:space="preserve">Australia</t>
  </si>
  <si>
    <t xml:space="preserve">Türkiye</t>
  </si>
  <si>
    <t xml:space="preserve">Group E</t>
  </si>
  <si>
    <t xml:space="preserve">Germany</t>
  </si>
  <si>
    <t xml:space="preserve">Curaçao</t>
  </si>
  <si>
    <t xml:space="preserve">Ivory Coast</t>
  </si>
  <si>
    <t xml:space="preserve">Ecuador</t>
  </si>
  <si>
    <t xml:space="preserve">Group F</t>
  </si>
  <si>
    <t xml:space="preserve">Netherlands</t>
  </si>
  <si>
    <t xml:space="preserve">Japan</t>
  </si>
  <si>
    <t xml:space="preserve">Sweden</t>
  </si>
  <si>
    <t xml:space="preserve">Tunisia</t>
  </si>
  <si>
    <t xml:space="preserve">Group G</t>
  </si>
  <si>
    <t xml:space="preserve">Belgium</t>
  </si>
  <si>
    <t xml:space="preserve">Egypt</t>
  </si>
  <si>
    <t xml:space="preserve">Iran</t>
  </si>
  <si>
    <t xml:space="preserve">New Zealand</t>
  </si>
  <si>
    <t xml:space="preserve">Group H</t>
  </si>
  <si>
    <t xml:space="preserve">Spain</t>
  </si>
  <si>
    <t xml:space="preserve">Cape Verde</t>
  </si>
  <si>
    <t xml:space="preserve">Saudi Arabia</t>
  </si>
  <si>
    <t xml:space="preserve">Uruguay</t>
  </si>
  <si>
    <t xml:space="preserve">Group I</t>
  </si>
  <si>
    <t xml:space="preserve">France</t>
  </si>
  <si>
    <t xml:space="preserve">Senegal</t>
  </si>
  <si>
    <t xml:space="preserve">Iraq</t>
  </si>
  <si>
    <t xml:space="preserve">Norway</t>
  </si>
  <si>
    <t xml:space="preserve">Group J</t>
  </si>
  <si>
    <t xml:space="preserve">Argentina</t>
  </si>
  <si>
    <t xml:space="preserve">Algeria</t>
  </si>
  <si>
    <t xml:space="preserve">Austria</t>
  </si>
  <si>
    <t xml:space="preserve">Jordan</t>
  </si>
  <si>
    <t xml:space="preserve">Group K</t>
  </si>
  <si>
    <t xml:space="preserve">Portugal</t>
  </si>
  <si>
    <t xml:space="preserve">DR Congo</t>
  </si>
  <si>
    <t xml:space="preserve">Uzbekistan</t>
  </si>
  <si>
    <t xml:space="preserve">Colombia</t>
  </si>
  <si>
    <t xml:space="preserve">Group L</t>
  </si>
  <si>
    <t xml:space="preserve">England</t>
  </si>
  <si>
    <t xml:space="preserve">Croatia</t>
  </si>
  <si>
    <t xml:space="preserve">Ghana</t>
  </si>
  <si>
    <t xml:space="preserve">Panama</t>
  </si>
  <si>
    <t xml:space="preserve">GROUP PICKS  —  one row per person  (Form responses land here)</t>
  </si>
  <si>
    <t xml:space="preserve">Alice (sample)</t>
  </si>
  <si>
    <t xml:space="preserve">Bob (sample)</t>
  </si>
  <si>
    <t xml:space="preserve">Cara (sample)</t>
  </si>
  <si>
    <t xml:space="preserve">KNOCKOUT PICKS  —  one row per person  (built after groups; Form responses land here)</t>
  </si>
  <si>
    <t xml:space="preserve">RESULTS  —  enter actual outcomes here as they happen</t>
  </si>
  <si>
    <t xml:space="preserve">Fill these as the tournament plays out; every leaderboard and payout updates automatically. (Sample values shown — clear before your pool.)</t>
  </si>
  <si>
    <t xml:space="preserve">Actual group winners →</t>
  </si>
  <si>
    <t xml:space="preserve">Actual WORST team</t>
  </si>
  <si>
    <t xml:space="preserve">Actual total group goals</t>
  </si>
  <si>
    <t xml:space="preserve">(winners)</t>
  </si>
  <si>
    <t xml:space="preserve">Knockout match winners →</t>
  </si>
  <si>
    <t xml:space="preserve">R32-1</t>
  </si>
  <si>
    <t xml:space="preserve">R32-2</t>
  </si>
  <si>
    <t xml:space="preserve">R32-3</t>
  </si>
  <si>
    <t xml:space="preserve">R32-4</t>
  </si>
  <si>
    <t xml:space="preserve">R32-5</t>
  </si>
  <si>
    <t xml:space="preserve">R32-6</t>
  </si>
  <si>
    <t xml:space="preserve">R32-7</t>
  </si>
  <si>
    <t xml:space="preserve">R32-8</t>
  </si>
  <si>
    <t xml:space="preserve">R32-9</t>
  </si>
  <si>
    <t xml:space="preserve">R32-10</t>
  </si>
  <si>
    <t xml:space="preserve">R32-11</t>
  </si>
  <si>
    <t xml:space="preserve">R32-12</t>
  </si>
  <si>
    <t xml:space="preserve">R32-13</t>
  </si>
  <si>
    <t xml:space="preserve">R32-14</t>
  </si>
  <si>
    <t xml:space="preserve">R32-15</t>
  </si>
  <si>
    <t xml:space="preserve">R32-16</t>
  </si>
  <si>
    <t xml:space="preserve">R16-1</t>
  </si>
  <si>
    <t xml:space="preserve">R16-2</t>
  </si>
  <si>
    <t xml:space="preserve">R16-3</t>
  </si>
  <si>
    <t xml:space="preserve">R16-4</t>
  </si>
  <si>
    <t xml:space="preserve">R16-5</t>
  </si>
  <si>
    <t xml:space="preserve">R16-6</t>
  </si>
  <si>
    <t xml:space="preserve">R16-7</t>
  </si>
  <si>
    <t xml:space="preserve">R16-8</t>
  </si>
  <si>
    <t xml:space="preserve">QF-1</t>
  </si>
  <si>
    <t xml:space="preserve">QF-2</t>
  </si>
  <si>
    <t xml:space="preserve">QF-3</t>
  </si>
  <si>
    <t xml:space="preserve">QF-4</t>
  </si>
  <si>
    <t xml:space="preserve">SF-1</t>
  </si>
  <si>
    <t xml:space="preserve">SF-2</t>
  </si>
  <si>
    <t xml:space="preserve">Final</t>
  </si>
  <si>
    <t xml:space="preserve">GROUP-STAGE LEADERBOARD  (winner takes the group pot)</t>
  </si>
  <si>
    <t xml:space="preserve">Player</t>
  </si>
  <si>
    <t xml:space="preserve">Correct winners</t>
  </si>
  <si>
    <t xml:space="preserve">Worst team ✓</t>
  </si>
  <si>
    <t xml:space="preserve">Points</t>
  </si>
  <si>
    <t xml:space="preserve">Goals diff (tiebreak)</t>
  </si>
  <si>
    <t xml:space="preserve">Score</t>
  </si>
  <si>
    <t xml:space="preserve">Rank</t>
  </si>
  <si>
    <t xml:space="preserve">Tiebreak: most points, then closest predicted total goals.</t>
  </si>
  <si>
    <t xml:space="preserve">KNOCKOUT LEADERBOARD  (champion takes the knockout pot)</t>
  </si>
  <si>
    <t xml:space="preserve">R32 pts</t>
  </si>
  <si>
    <t xml:space="preserve">R16 pts</t>
  </si>
  <si>
    <t xml:space="preserve">QF pts</t>
  </si>
  <si>
    <t xml:space="preserve">SF pts</t>
  </si>
  <si>
    <t xml:space="preserve">Final pts</t>
  </si>
  <si>
    <t xml:space="preserve">Total</t>
  </si>
  <si>
    <t xml:space="preserve">Knockout CHAMPION (most total points)</t>
  </si>
  <si>
    <t xml:space="preserve">If two people tie, split the pot (note it on Payouts). Want flat scoring? Set all round values to 1 on Settings.</t>
  </si>
  <si>
    <t xml:space="preserve">PAYOUTS  —  two pools, two winners, two pots</t>
  </si>
  <si>
    <t xml:space="preserve">The pots</t>
  </si>
  <si>
    <t xml:space="preserve">Group entries (people who picked)</t>
  </si>
  <si>
    <t xml:space="preserve">Knockout entries (people who picked)</t>
  </si>
  <si>
    <t xml:space="preserve">Who gets paid</t>
  </si>
  <si>
    <t xml:space="preserve">Pool</t>
  </si>
  <si>
    <t xml:space="preserve">Winner</t>
  </si>
  <si>
    <t xml:space="preserve">Pays</t>
  </si>
  <si>
    <t xml:space="preserve">Group stage</t>
  </si>
  <si>
    <t xml:space="preserve">Knockout</t>
  </si>
  <si>
    <t xml:space="preserve">Total paid out</t>
  </si>
  <si>
    <t xml:space="preserve">(Total should equal both pots combined.)</t>
  </si>
</sst>
</file>

<file path=xl/styles.xml><?xml version="1.0" encoding="utf-8"?>
<styleSheet xmlns="http://schemas.openxmlformats.org/spreadsheetml/2006/main">
  <numFmts count="4">
    <numFmt numFmtId="164" formatCode="General"/>
    <numFmt numFmtId="165" formatCode="\$#,##0"/>
    <numFmt numFmtId="166" formatCode="0"/>
    <numFmt numFmtId="167"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000000"/>
      <name val="Arial"/>
      <family val="0"/>
      <charset val="1"/>
    </font>
    <font>
      <b val="true"/>
      <sz val="11"/>
      <color rgb="FF1F3864"/>
      <name val="Arial"/>
      <family val="0"/>
      <charset val="1"/>
    </font>
    <font>
      <b val="true"/>
      <sz val="9"/>
      <color rgb="FFC00000"/>
      <name val="Arial"/>
      <family val="0"/>
      <charset val="1"/>
    </font>
    <font>
      <i val="true"/>
      <sz val="9"/>
      <color rgb="FF000000"/>
      <name val="Arial"/>
      <family val="0"/>
      <charset val="1"/>
    </font>
    <font>
      <b val="true"/>
      <sz val="11"/>
      <color rgb="FFFFFFFF"/>
      <name val="Arial"/>
      <family val="0"/>
      <charset val="1"/>
    </font>
    <font>
      <b val="true"/>
      <sz val="10"/>
      <color rgb="FF0000FF"/>
      <name val="Arial"/>
      <family val="0"/>
      <charset val="1"/>
    </font>
    <font>
      <i val="true"/>
      <sz val="9"/>
      <color rgb="FF808080"/>
      <name val="Arial"/>
      <family val="0"/>
      <charset val="1"/>
    </font>
    <font>
      <b val="true"/>
      <sz val="10"/>
      <color rgb="FF000000"/>
      <name val="Arial"/>
      <family val="0"/>
      <charset val="1"/>
    </font>
    <font>
      <b val="true"/>
      <sz val="10"/>
      <color rgb="FFFFFFFF"/>
      <name val="Arial"/>
      <family val="0"/>
      <charset val="1"/>
    </font>
    <font>
      <sz val="9"/>
      <color rgb="FF000000"/>
      <name val="Arial"/>
      <family val="0"/>
      <charset val="1"/>
    </font>
    <font>
      <b val="true"/>
      <sz val="9"/>
      <color rgb="FFFFFFFF"/>
      <name val="Arial"/>
      <family val="0"/>
      <charset val="1"/>
    </font>
    <font>
      <b val="true"/>
      <sz val="9"/>
      <color rgb="FF0000FF"/>
      <name val="Arial"/>
      <family val="0"/>
      <charset val="1"/>
    </font>
    <font>
      <sz val="10"/>
      <color rgb="FF008000"/>
      <name val="Arial"/>
      <family val="0"/>
      <charset val="1"/>
    </font>
    <font>
      <b val="true"/>
      <sz val="11"/>
      <color rgb="FF008000"/>
      <name val="Arial"/>
      <family val="0"/>
      <charset val="1"/>
    </font>
    <font>
      <b val="true"/>
      <sz val="10"/>
      <color rgb="FF008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6" fontId="5" fillId="5"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left"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6" fontId="10" fillId="4"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7" fontId="17"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5"/>
  </cols>
  <sheetData>
    <row r="1" customFormat="false" ht="17.35" hidden="false" customHeight="false" outlineLevel="0" collapsed="false">
      <c r="A1" s="1" t="s">
        <v>0</v>
      </c>
      <c r="B1" s="1"/>
    </row>
    <row r="3" customFormat="false" ht="15" hidden="false" customHeight="false" outlineLevel="0" collapsed="false">
      <c r="A3" s="2"/>
    </row>
    <row r="4" customFormat="false" ht="15" hidden="false" customHeight="false" outlineLevel="0" collapsed="false">
      <c r="A4" s="3" t="s">
        <v>1</v>
      </c>
    </row>
    <row r="5" customFormat="false" ht="15" hidden="false" customHeight="false" outlineLevel="0" collapsed="false">
      <c r="A5" s="2" t="s">
        <v>2</v>
      </c>
    </row>
    <row r="6" customFormat="false" ht="23.85" hidden="false" customHeight="false" outlineLevel="0" collapsed="false">
      <c r="A6" s="2" t="s">
        <v>3</v>
      </c>
    </row>
    <row r="7" customFormat="false" ht="23.8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row>
    <row r="10" customFormat="false" ht="15" hidden="false" customHeight="false" outlineLevel="0" collapsed="false">
      <c r="A10" s="3" t="s">
        <v>6</v>
      </c>
    </row>
    <row r="11" customFormat="false" ht="1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3" t="s">
        <v>14</v>
      </c>
    </row>
    <row r="20" customFormat="false" ht="23.8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t="s">
        <v>19</v>
      </c>
    </row>
    <row r="25" customFormat="false" ht="15" hidden="false" customHeight="false" outlineLevel="0" collapsed="false">
      <c r="A25" s="2"/>
    </row>
    <row r="26" customFormat="false" ht="15" hidden="false" customHeight="false" outlineLevel="0" collapsed="false">
      <c r="A26" s="3" t="s">
        <v>20</v>
      </c>
    </row>
    <row r="27" customFormat="false" ht="15" hidden="false" customHeight="false" outlineLevel="0" collapsed="false">
      <c r="A27" s="2" t="s">
        <v>21</v>
      </c>
    </row>
    <row r="28" customFormat="false" ht="15" hidden="false" customHeight="false" outlineLevel="0" collapsed="false">
      <c r="A28" s="2" t="s">
        <v>22</v>
      </c>
    </row>
    <row r="29" customFormat="false" ht="15" hidden="false" customHeight="false" outlineLevel="0" collapsed="false">
      <c r="A29" s="2"/>
    </row>
    <row r="30" customFormat="false" ht="15" hidden="false" customHeight="false" outlineLevel="0" collapsed="false">
      <c r="A30" s="3" t="s">
        <v>23</v>
      </c>
    </row>
    <row r="31" customFormat="false" ht="15" hidden="false" customHeight="false" outlineLevel="0" collapsed="false">
      <c r="A31" s="2" t="s">
        <v>24</v>
      </c>
    </row>
    <row r="32" customFormat="false" ht="15" hidden="false" customHeight="false" outlineLevel="0" collapsed="false">
      <c r="A32" s="2" t="s">
        <v>25</v>
      </c>
    </row>
    <row r="33" customFormat="false" ht="15" hidden="false" customHeight="false" outlineLevel="0" collapsed="false">
      <c r="A33" s="2" t="s">
        <v>26</v>
      </c>
    </row>
    <row r="34" customFormat="false" ht="15" hidden="false" customHeight="false" outlineLevel="0" collapsed="false">
      <c r="A34" s="2"/>
    </row>
    <row r="35" customFormat="false" ht="15" hidden="false" customHeight="false" outlineLevel="0" collapsed="false">
      <c r="A35" s="4" t="s">
        <v>27</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40"/>
  </cols>
  <sheetData>
    <row r="1" customFormat="false" ht="17.35" hidden="false" customHeight="false" outlineLevel="0" collapsed="false">
      <c r="A1" s="1" t="s">
        <v>28</v>
      </c>
      <c r="B1" s="1"/>
      <c r="C1" s="1"/>
    </row>
    <row r="2" customFormat="false" ht="15" hidden="false" customHeight="false" outlineLevel="0" collapsed="false">
      <c r="A2" s="5" t="s">
        <v>29</v>
      </c>
    </row>
    <row r="4" customFormat="false" ht="15" hidden="false" customHeight="false" outlineLevel="0" collapsed="false">
      <c r="A4" s="6" t="s">
        <v>30</v>
      </c>
      <c r="B4" s="6"/>
      <c r="C4" s="6"/>
    </row>
    <row r="5" customFormat="false" ht="15" hidden="false" customHeight="false" outlineLevel="0" collapsed="false">
      <c r="A5" s="7" t="s">
        <v>31</v>
      </c>
      <c r="B5" s="8" t="n">
        <v>1</v>
      </c>
    </row>
    <row r="6" customFormat="false" ht="15" hidden="false" customHeight="false" outlineLevel="0" collapsed="false">
      <c r="A6" s="7" t="s">
        <v>32</v>
      </c>
      <c r="B6" s="8" t="n">
        <v>5</v>
      </c>
      <c r="C6" s="9" t="s">
        <v>33</v>
      </c>
    </row>
    <row r="7" customFormat="false" ht="15" hidden="false" customHeight="false" outlineLevel="0" collapsed="false">
      <c r="A7" s="9" t="s">
        <v>34</v>
      </c>
    </row>
    <row r="9" customFormat="false" ht="15" hidden="false" customHeight="false" outlineLevel="0" collapsed="false">
      <c r="A9" s="6" t="s">
        <v>35</v>
      </c>
      <c r="B9" s="6"/>
      <c r="C9" s="6"/>
    </row>
    <row r="10" customFormat="false" ht="15" hidden="false" customHeight="false" outlineLevel="0" collapsed="false">
      <c r="A10" s="7" t="s">
        <v>36</v>
      </c>
      <c r="B10" s="8" t="n">
        <v>1</v>
      </c>
    </row>
    <row r="11" customFormat="false" ht="15" hidden="false" customHeight="false" outlineLevel="0" collapsed="false">
      <c r="A11" s="7" t="s">
        <v>37</v>
      </c>
      <c r="B11" s="8" t="n">
        <v>2</v>
      </c>
    </row>
    <row r="12" customFormat="false" ht="15" hidden="false" customHeight="false" outlineLevel="0" collapsed="false">
      <c r="A12" s="7" t="s">
        <v>38</v>
      </c>
      <c r="B12" s="8" t="n">
        <v>4</v>
      </c>
    </row>
    <row r="13" customFormat="false" ht="15" hidden="false" customHeight="false" outlineLevel="0" collapsed="false">
      <c r="A13" s="7" t="s">
        <v>39</v>
      </c>
      <c r="B13" s="8" t="n">
        <v>8</v>
      </c>
    </row>
    <row r="14" customFormat="false" ht="15" hidden="false" customHeight="false" outlineLevel="0" collapsed="false">
      <c r="A14" s="7" t="s">
        <v>40</v>
      </c>
      <c r="B14" s="8" t="n">
        <v>16</v>
      </c>
    </row>
    <row r="15" customFormat="false" ht="15" hidden="false" customHeight="false" outlineLevel="0" collapsed="false">
      <c r="A15" s="9" t="s">
        <v>41</v>
      </c>
    </row>
    <row r="17" customFormat="false" ht="15" hidden="false" customHeight="false" outlineLevel="0" collapsed="false">
      <c r="A17" s="6" t="s">
        <v>42</v>
      </c>
      <c r="B17" s="6"/>
      <c r="C17" s="6"/>
    </row>
    <row r="18" customFormat="false" ht="15" hidden="false" customHeight="false" outlineLevel="0" collapsed="false">
      <c r="A18" s="7" t="s">
        <v>43</v>
      </c>
      <c r="B18" s="10" t="n">
        <v>20</v>
      </c>
    </row>
    <row r="19" customFormat="false" ht="15" hidden="false" customHeight="false" outlineLevel="0" collapsed="false">
      <c r="A19" s="7" t="s">
        <v>44</v>
      </c>
      <c r="B19" s="10" t="n">
        <v>20</v>
      </c>
    </row>
    <row r="20" customFormat="false" ht="15" hidden="false" customHeight="false" outlineLevel="0" collapsed="false">
      <c r="A20" s="9" t="s">
        <v>45</v>
      </c>
    </row>
    <row r="22" customFormat="false" ht="15" hidden="false" customHeight="false" outlineLevel="0" collapsed="false">
      <c r="A22" s="6" t="s">
        <v>46</v>
      </c>
      <c r="B22" s="6"/>
      <c r="C22" s="6"/>
    </row>
    <row r="23" customFormat="false" ht="23.85" hidden="false" customHeight="false" outlineLevel="0" collapsed="false">
      <c r="A23" s="7" t="s">
        <v>47</v>
      </c>
      <c r="B23" s="11" t="s">
        <v>48</v>
      </c>
    </row>
    <row r="24" customFormat="false" ht="23.85" hidden="false" customHeight="false" outlineLevel="0" collapsed="false">
      <c r="A24" s="7" t="s">
        <v>49</v>
      </c>
      <c r="B24" s="11" t="s">
        <v>48</v>
      </c>
    </row>
    <row r="25" customFormat="false" ht="15" hidden="false" customHeight="false" outlineLevel="0" collapsed="false">
      <c r="A25" s="9" t="s">
        <v>50</v>
      </c>
    </row>
  </sheetData>
  <mergeCells count="5">
    <mergeCell ref="A1:C1"/>
    <mergeCell ref="A4:C4"/>
    <mergeCell ref="A9:C9"/>
    <mergeCell ref="A17:C17"/>
    <mergeCell ref="A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5" min="2" style="0" width="22"/>
  </cols>
  <sheetData>
    <row r="1" customFormat="false" ht="17.35" hidden="false" customHeight="false" outlineLevel="0" collapsed="false">
      <c r="A1" s="1" t="s">
        <v>51</v>
      </c>
      <c r="B1" s="1"/>
      <c r="C1" s="1"/>
      <c r="D1" s="1"/>
      <c r="E1" s="1"/>
    </row>
    <row r="2" customFormat="false" ht="15" hidden="false" customHeight="false" outlineLevel="0" collapsed="false">
      <c r="A2" s="12" t="s">
        <v>52</v>
      </c>
    </row>
    <row r="4" customFormat="false" ht="15" hidden="false" customHeight="false" outlineLevel="0" collapsed="false">
      <c r="A4" s="13" t="s">
        <v>53</v>
      </c>
      <c r="B4" s="13" t="s">
        <v>54</v>
      </c>
      <c r="C4" s="13" t="s">
        <v>55</v>
      </c>
      <c r="D4" s="13" t="s">
        <v>56</v>
      </c>
      <c r="E4" s="13" t="s">
        <v>57</v>
      </c>
    </row>
    <row r="5" customFormat="false" ht="15" hidden="false" customHeight="false" outlineLevel="0" collapsed="false">
      <c r="A5" s="14" t="s">
        <v>58</v>
      </c>
      <c r="B5" s="15" t="s">
        <v>59</v>
      </c>
      <c r="C5" s="15" t="s">
        <v>60</v>
      </c>
      <c r="D5" s="15" t="s">
        <v>61</v>
      </c>
      <c r="E5" s="15" t="s">
        <v>62</v>
      </c>
    </row>
    <row r="6" customFormat="false" ht="15" hidden="false" customHeight="false" outlineLevel="0" collapsed="false">
      <c r="A6" s="14" t="s">
        <v>63</v>
      </c>
      <c r="B6" s="15" t="s">
        <v>64</v>
      </c>
      <c r="C6" s="15" t="s">
        <v>65</v>
      </c>
      <c r="D6" s="15" t="s">
        <v>66</v>
      </c>
      <c r="E6" s="15" t="s">
        <v>67</v>
      </c>
    </row>
    <row r="7" customFormat="false" ht="15" hidden="false" customHeight="false" outlineLevel="0" collapsed="false">
      <c r="A7" s="14" t="s">
        <v>68</v>
      </c>
      <c r="B7" s="15" t="s">
        <v>69</v>
      </c>
      <c r="C7" s="15" t="s">
        <v>70</v>
      </c>
      <c r="D7" s="15" t="s">
        <v>71</v>
      </c>
      <c r="E7" s="15" t="s">
        <v>72</v>
      </c>
    </row>
    <row r="8" customFormat="false" ht="15" hidden="false" customHeight="false" outlineLevel="0" collapsed="false">
      <c r="A8" s="14" t="s">
        <v>73</v>
      </c>
      <c r="B8" s="15" t="s">
        <v>74</v>
      </c>
      <c r="C8" s="15" t="s">
        <v>75</v>
      </c>
      <c r="D8" s="15" t="s">
        <v>76</v>
      </c>
      <c r="E8" s="15" t="s">
        <v>77</v>
      </c>
    </row>
    <row r="9" customFormat="false" ht="15" hidden="false" customHeight="false" outlineLevel="0" collapsed="false">
      <c r="A9" s="14" t="s">
        <v>78</v>
      </c>
      <c r="B9" s="15" t="s">
        <v>79</v>
      </c>
      <c r="C9" s="15" t="s">
        <v>80</v>
      </c>
      <c r="D9" s="15" t="s">
        <v>81</v>
      </c>
      <c r="E9" s="15" t="s">
        <v>82</v>
      </c>
    </row>
    <row r="10" customFormat="false" ht="15" hidden="false" customHeight="false" outlineLevel="0" collapsed="false">
      <c r="A10" s="14" t="s">
        <v>83</v>
      </c>
      <c r="B10" s="15" t="s">
        <v>84</v>
      </c>
      <c r="C10" s="15" t="s">
        <v>85</v>
      </c>
      <c r="D10" s="15" t="s">
        <v>86</v>
      </c>
      <c r="E10" s="15" t="s">
        <v>87</v>
      </c>
    </row>
    <row r="11" customFormat="false" ht="15" hidden="false" customHeight="false" outlineLevel="0" collapsed="false">
      <c r="A11" s="14" t="s">
        <v>88</v>
      </c>
      <c r="B11" s="15" t="s">
        <v>89</v>
      </c>
      <c r="C11" s="15" t="s">
        <v>90</v>
      </c>
      <c r="D11" s="15" t="s">
        <v>91</v>
      </c>
      <c r="E11" s="15" t="s">
        <v>92</v>
      </c>
    </row>
    <row r="12" customFormat="false" ht="15" hidden="false" customHeight="false" outlineLevel="0" collapsed="false">
      <c r="A12" s="14" t="s">
        <v>93</v>
      </c>
      <c r="B12" s="15" t="s">
        <v>94</v>
      </c>
      <c r="C12" s="15" t="s">
        <v>95</v>
      </c>
      <c r="D12" s="15" t="s">
        <v>96</v>
      </c>
      <c r="E12" s="15" t="s">
        <v>97</v>
      </c>
    </row>
    <row r="13" customFormat="false" ht="15" hidden="false" customHeight="false" outlineLevel="0" collapsed="false">
      <c r="A13" s="14" t="s">
        <v>98</v>
      </c>
      <c r="B13" s="15" t="s">
        <v>99</v>
      </c>
      <c r="C13" s="15" t="s">
        <v>100</v>
      </c>
      <c r="D13" s="15" t="s">
        <v>101</v>
      </c>
      <c r="E13" s="15" t="s">
        <v>102</v>
      </c>
    </row>
    <row r="14" customFormat="false" ht="15" hidden="false" customHeight="false" outlineLevel="0" collapsed="false">
      <c r="A14" s="14" t="s">
        <v>103</v>
      </c>
      <c r="B14" s="15" t="s">
        <v>104</v>
      </c>
      <c r="C14" s="15" t="s">
        <v>105</v>
      </c>
      <c r="D14" s="15" t="s">
        <v>106</v>
      </c>
      <c r="E14" s="15" t="s">
        <v>107</v>
      </c>
    </row>
    <row r="15" customFormat="false" ht="15" hidden="false" customHeight="false" outlineLevel="0" collapsed="false">
      <c r="A15" s="14" t="s">
        <v>108</v>
      </c>
      <c r="B15" s="15" t="s">
        <v>109</v>
      </c>
      <c r="C15" s="15" t="s">
        <v>110</v>
      </c>
      <c r="D15" s="15" t="s">
        <v>111</v>
      </c>
      <c r="E15" s="15" t="s">
        <v>112</v>
      </c>
    </row>
    <row r="16" customFormat="false" ht="15" hidden="false" customHeight="false" outlineLevel="0" collapsed="false">
      <c r="A16" s="14" t="s">
        <v>113</v>
      </c>
      <c r="B16" s="15" t="s">
        <v>114</v>
      </c>
      <c r="C16" s="15" t="s">
        <v>115</v>
      </c>
      <c r="D16" s="15" t="s">
        <v>116</v>
      </c>
      <c r="E16" s="15" t="s">
        <v>117</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13" min="2" style="0" width="13"/>
    <col collapsed="false" customWidth="true" hidden="false" outlineLevel="0" max="14" min="14" style="0" width="16"/>
    <col collapsed="false" customWidth="true" hidden="false" outlineLevel="0" max="15" min="15" style="0" width="15"/>
  </cols>
  <sheetData>
    <row r="1" customFormat="false" ht="17.35" hidden="false" customHeight="false" outlineLevel="0" collapsed="false">
      <c r="A1" s="1" t="s">
        <v>118</v>
      </c>
      <c r="B1" s="1"/>
      <c r="C1" s="1"/>
      <c r="D1" s="1"/>
      <c r="E1" s="1"/>
      <c r="F1" s="1"/>
      <c r="G1" s="1"/>
      <c r="H1" s="1"/>
      <c r="I1" s="1"/>
      <c r="J1" s="1"/>
      <c r="K1" s="1"/>
      <c r="L1" s="1"/>
      <c r="M1" s="1"/>
      <c r="N1" s="1"/>
      <c r="O1" s="1"/>
    </row>
    <row r="2" customFormat="false" ht="15" hidden="false" customHeight="false" outlineLevel="0" collapsed="false">
      <c r="A2" s="16" t="s">
        <v>119</v>
      </c>
      <c r="B2" s="17" t="s">
        <v>59</v>
      </c>
      <c r="C2" s="17" t="s">
        <v>64</v>
      </c>
      <c r="D2" s="17" t="s">
        <v>69</v>
      </c>
      <c r="E2" s="17" t="s">
        <v>74</v>
      </c>
      <c r="F2" s="17" t="s">
        <v>79</v>
      </c>
      <c r="G2" s="17" t="s">
        <v>84</v>
      </c>
      <c r="H2" s="17" t="s">
        <v>89</v>
      </c>
      <c r="I2" s="17" t="s">
        <v>94</v>
      </c>
      <c r="J2" s="17" t="s">
        <v>99</v>
      </c>
      <c r="K2" s="17" t="s">
        <v>104</v>
      </c>
      <c r="L2" s="17" t="s">
        <v>109</v>
      </c>
      <c r="M2" s="17" t="s">
        <v>114</v>
      </c>
      <c r="N2" s="17" t="s">
        <v>71</v>
      </c>
      <c r="O2" s="18" t="n">
        <v>150</v>
      </c>
    </row>
    <row r="3" customFormat="false" ht="15" hidden="false" customHeight="false" outlineLevel="0" collapsed="false">
      <c r="A3" s="16" t="s">
        <v>120</v>
      </c>
      <c r="B3" s="17" t="s">
        <v>59</v>
      </c>
      <c r="C3" s="17" t="s">
        <v>67</v>
      </c>
      <c r="D3" s="17" t="s">
        <v>70</v>
      </c>
      <c r="E3" s="17" t="s">
        <v>74</v>
      </c>
      <c r="F3" s="17" t="s">
        <v>79</v>
      </c>
      <c r="G3" s="17" t="s">
        <v>85</v>
      </c>
      <c r="H3" s="17" t="s">
        <v>89</v>
      </c>
      <c r="I3" s="17" t="s">
        <v>97</v>
      </c>
      <c r="J3" s="17" t="s">
        <v>99</v>
      </c>
      <c r="K3" s="17" t="s">
        <v>104</v>
      </c>
      <c r="L3" s="17" t="s">
        <v>112</v>
      </c>
      <c r="M3" s="17" t="s">
        <v>114</v>
      </c>
      <c r="N3" s="17" t="s">
        <v>117</v>
      </c>
      <c r="O3" s="18" t="n">
        <v>130</v>
      </c>
    </row>
    <row r="4" customFormat="false" ht="15" hidden="false" customHeight="false" outlineLevel="0" collapsed="false">
      <c r="A4" s="16" t="s">
        <v>121</v>
      </c>
      <c r="B4" s="17" t="s">
        <v>61</v>
      </c>
      <c r="C4" s="17" t="s">
        <v>67</v>
      </c>
      <c r="D4" s="17" t="s">
        <v>69</v>
      </c>
      <c r="E4" s="17" t="s">
        <v>77</v>
      </c>
      <c r="F4" s="17" t="s">
        <v>79</v>
      </c>
      <c r="G4" s="17" t="s">
        <v>84</v>
      </c>
      <c r="H4" s="17" t="s">
        <v>90</v>
      </c>
      <c r="I4" s="17" t="s">
        <v>94</v>
      </c>
      <c r="J4" s="17" t="s">
        <v>102</v>
      </c>
      <c r="K4" s="17" t="s">
        <v>104</v>
      </c>
      <c r="L4" s="17" t="s">
        <v>109</v>
      </c>
      <c r="M4" s="17" t="s">
        <v>115</v>
      </c>
      <c r="N4" s="17" t="s">
        <v>71</v>
      </c>
      <c r="O4" s="18" t="n">
        <v>145</v>
      </c>
    </row>
    <row r="5" customFormat="false" ht="15" hidden="false" customHeight="false" outlineLevel="0" collapsed="false">
      <c r="A5" s="15"/>
      <c r="B5" s="19"/>
      <c r="C5" s="19"/>
      <c r="D5" s="19"/>
      <c r="E5" s="19"/>
      <c r="F5" s="19"/>
      <c r="G5" s="19"/>
      <c r="H5" s="19"/>
      <c r="I5" s="19"/>
      <c r="J5" s="19"/>
      <c r="K5" s="19"/>
      <c r="L5" s="19"/>
      <c r="M5" s="19"/>
      <c r="N5" s="19"/>
      <c r="O5" s="20"/>
    </row>
    <row r="6" customFormat="false" ht="15" hidden="false" customHeight="false" outlineLevel="0" collapsed="false">
      <c r="A6" s="15"/>
      <c r="B6" s="19"/>
      <c r="C6" s="19"/>
      <c r="D6" s="19"/>
      <c r="E6" s="19"/>
      <c r="F6" s="19"/>
      <c r="G6" s="19"/>
      <c r="H6" s="19"/>
      <c r="I6" s="19"/>
      <c r="J6" s="19"/>
      <c r="K6" s="19"/>
      <c r="L6" s="19"/>
      <c r="M6" s="19"/>
      <c r="N6" s="19"/>
      <c r="O6" s="20"/>
    </row>
    <row r="7" customFormat="false" ht="15" hidden="false" customHeight="false" outlineLevel="0" collapsed="false">
      <c r="A7" s="15"/>
      <c r="B7" s="19"/>
      <c r="C7" s="19"/>
      <c r="D7" s="19"/>
      <c r="E7" s="19"/>
      <c r="F7" s="19"/>
      <c r="G7" s="19"/>
      <c r="H7" s="19"/>
      <c r="I7" s="19"/>
      <c r="J7" s="19"/>
      <c r="K7" s="19"/>
      <c r="L7" s="19"/>
      <c r="M7" s="19"/>
      <c r="N7" s="19"/>
      <c r="O7" s="20"/>
    </row>
    <row r="8" customFormat="false" ht="15" hidden="false" customHeight="false" outlineLevel="0" collapsed="false">
      <c r="A8" s="15"/>
      <c r="B8" s="19"/>
      <c r="C8" s="19"/>
      <c r="D8" s="19"/>
      <c r="E8" s="19"/>
      <c r="F8" s="19"/>
      <c r="G8" s="19"/>
      <c r="H8" s="19"/>
      <c r="I8" s="19"/>
      <c r="J8" s="19"/>
      <c r="K8" s="19"/>
      <c r="L8" s="19"/>
      <c r="M8" s="19"/>
      <c r="N8" s="19"/>
      <c r="O8" s="20"/>
    </row>
    <row r="9" customFormat="false" ht="15" hidden="false" customHeight="false" outlineLevel="0" collapsed="false">
      <c r="A9" s="15"/>
      <c r="B9" s="19"/>
      <c r="C9" s="19"/>
      <c r="D9" s="19"/>
      <c r="E9" s="19"/>
      <c r="F9" s="19"/>
      <c r="G9" s="19"/>
      <c r="H9" s="19"/>
      <c r="I9" s="19"/>
      <c r="J9" s="19"/>
      <c r="K9" s="19"/>
      <c r="L9" s="19"/>
      <c r="M9" s="19"/>
      <c r="N9" s="19"/>
      <c r="O9" s="20"/>
    </row>
    <row r="10" customFormat="false" ht="15" hidden="false" customHeight="false" outlineLevel="0" collapsed="false">
      <c r="A10" s="15"/>
      <c r="B10" s="19"/>
      <c r="C10" s="19"/>
      <c r="D10" s="19"/>
      <c r="E10" s="19"/>
      <c r="F10" s="19"/>
      <c r="G10" s="19"/>
      <c r="H10" s="19"/>
      <c r="I10" s="19"/>
      <c r="J10" s="19"/>
      <c r="K10" s="19"/>
      <c r="L10" s="19"/>
      <c r="M10" s="19"/>
      <c r="N10" s="19"/>
      <c r="O10" s="20"/>
    </row>
    <row r="11" customFormat="false" ht="15" hidden="false" customHeight="false" outlineLevel="0" collapsed="false">
      <c r="A11" s="15"/>
      <c r="B11" s="19"/>
      <c r="C11" s="19"/>
      <c r="D11" s="19"/>
      <c r="E11" s="19"/>
      <c r="F11" s="19"/>
      <c r="G11" s="19"/>
      <c r="H11" s="19"/>
      <c r="I11" s="19"/>
      <c r="J11" s="19"/>
      <c r="K11" s="19"/>
      <c r="L11" s="19"/>
      <c r="M11" s="19"/>
      <c r="N11" s="19"/>
      <c r="O11" s="20"/>
    </row>
    <row r="12" customFormat="false" ht="15" hidden="false" customHeight="false" outlineLevel="0" collapsed="false">
      <c r="A12" s="15"/>
      <c r="B12" s="19"/>
      <c r="C12" s="19"/>
      <c r="D12" s="19"/>
      <c r="E12" s="19"/>
      <c r="F12" s="19"/>
      <c r="G12" s="19"/>
      <c r="H12" s="19"/>
      <c r="I12" s="19"/>
      <c r="J12" s="19"/>
      <c r="K12" s="19"/>
      <c r="L12" s="19"/>
      <c r="M12" s="19"/>
      <c r="N12" s="19"/>
      <c r="O12" s="20"/>
    </row>
    <row r="13" customFormat="false" ht="15" hidden="false" customHeight="false" outlineLevel="0" collapsed="false">
      <c r="A13" s="15"/>
      <c r="B13" s="19"/>
      <c r="C13" s="19"/>
      <c r="D13" s="19"/>
      <c r="E13" s="19"/>
      <c r="F13" s="19"/>
      <c r="G13" s="19"/>
      <c r="H13" s="19"/>
      <c r="I13" s="19"/>
      <c r="J13" s="19"/>
      <c r="K13" s="19"/>
      <c r="L13" s="19"/>
      <c r="M13" s="19"/>
      <c r="N13" s="19"/>
      <c r="O13" s="20"/>
    </row>
    <row r="14" customFormat="false" ht="15" hidden="false" customHeight="false" outlineLevel="0" collapsed="false">
      <c r="A14" s="15"/>
      <c r="B14" s="19"/>
      <c r="C14" s="19"/>
      <c r="D14" s="19"/>
      <c r="E14" s="19"/>
      <c r="F14" s="19"/>
      <c r="G14" s="19"/>
      <c r="H14" s="19"/>
      <c r="I14" s="19"/>
      <c r="J14" s="19"/>
      <c r="K14" s="19"/>
      <c r="L14" s="19"/>
      <c r="M14" s="19"/>
      <c r="N14" s="19"/>
      <c r="O14" s="20"/>
    </row>
    <row r="15" customFormat="false" ht="15" hidden="false" customHeight="false" outlineLevel="0" collapsed="false">
      <c r="A15" s="15"/>
      <c r="B15" s="19"/>
      <c r="C15" s="19"/>
      <c r="D15" s="19"/>
      <c r="E15" s="19"/>
      <c r="F15" s="19"/>
      <c r="G15" s="19"/>
      <c r="H15" s="19"/>
      <c r="I15" s="19"/>
      <c r="J15" s="19"/>
      <c r="K15" s="19"/>
      <c r="L15" s="19"/>
      <c r="M15" s="19"/>
      <c r="N15" s="19"/>
      <c r="O15" s="20"/>
    </row>
    <row r="16" customFormat="false" ht="15" hidden="false" customHeight="false" outlineLevel="0" collapsed="false">
      <c r="A16" s="15"/>
      <c r="B16" s="19"/>
      <c r="C16" s="19"/>
      <c r="D16" s="19"/>
      <c r="E16" s="19"/>
      <c r="F16" s="19"/>
      <c r="G16" s="19"/>
      <c r="H16" s="19"/>
      <c r="I16" s="19"/>
      <c r="J16" s="19"/>
      <c r="K16" s="19"/>
      <c r="L16" s="19"/>
      <c r="M16" s="19"/>
      <c r="N16" s="19"/>
      <c r="O16" s="20"/>
    </row>
    <row r="17" customFormat="false" ht="15" hidden="false" customHeight="false" outlineLevel="0" collapsed="false">
      <c r="A17" s="15"/>
      <c r="B17" s="19"/>
      <c r="C17" s="19"/>
      <c r="D17" s="19"/>
      <c r="E17" s="19"/>
      <c r="F17" s="19"/>
      <c r="G17" s="19"/>
      <c r="H17" s="19"/>
      <c r="I17" s="19"/>
      <c r="J17" s="19"/>
      <c r="K17" s="19"/>
      <c r="L17" s="19"/>
      <c r="M17" s="19"/>
      <c r="N17" s="19"/>
      <c r="O17" s="20"/>
    </row>
    <row r="18" customFormat="false" ht="15" hidden="false" customHeight="false" outlineLevel="0" collapsed="false">
      <c r="A18" s="15"/>
      <c r="B18" s="19"/>
      <c r="C18" s="19"/>
      <c r="D18" s="19"/>
      <c r="E18" s="19"/>
      <c r="F18" s="19"/>
      <c r="G18" s="19"/>
      <c r="H18" s="19"/>
      <c r="I18" s="19"/>
      <c r="J18" s="19"/>
      <c r="K18" s="19"/>
      <c r="L18" s="19"/>
      <c r="M18" s="19"/>
      <c r="N18" s="19"/>
      <c r="O18" s="20"/>
    </row>
    <row r="19" customFormat="false" ht="15" hidden="false" customHeight="false" outlineLevel="0" collapsed="false">
      <c r="A19" s="15"/>
      <c r="B19" s="19"/>
      <c r="C19" s="19"/>
      <c r="D19" s="19"/>
      <c r="E19" s="19"/>
      <c r="F19" s="19"/>
      <c r="G19" s="19"/>
      <c r="H19" s="19"/>
      <c r="I19" s="19"/>
      <c r="J19" s="19"/>
      <c r="K19" s="19"/>
      <c r="L19" s="19"/>
      <c r="M19" s="19"/>
      <c r="N19" s="19"/>
      <c r="O19" s="20"/>
    </row>
    <row r="20" customFormat="false" ht="15" hidden="false" customHeight="false" outlineLevel="0" collapsed="false">
      <c r="A20" s="15"/>
      <c r="B20" s="19"/>
      <c r="C20" s="19"/>
      <c r="D20" s="19"/>
      <c r="E20" s="19"/>
      <c r="F20" s="19"/>
      <c r="G20" s="19"/>
      <c r="H20" s="19"/>
      <c r="I20" s="19"/>
      <c r="J20" s="19"/>
      <c r="K20" s="19"/>
      <c r="L20" s="19"/>
      <c r="M20" s="19"/>
      <c r="N20" s="19"/>
      <c r="O20" s="20"/>
    </row>
    <row r="21" customFormat="false" ht="15" hidden="false" customHeight="false" outlineLevel="0" collapsed="false">
      <c r="A21" s="15"/>
      <c r="B21" s="19"/>
      <c r="C21" s="19"/>
      <c r="D21" s="19"/>
      <c r="E21" s="19"/>
      <c r="F21" s="19"/>
      <c r="G21" s="19"/>
      <c r="H21" s="19"/>
      <c r="I21" s="19"/>
      <c r="J21" s="19"/>
      <c r="K21" s="19"/>
      <c r="L21" s="19"/>
      <c r="M21" s="19"/>
      <c r="N21" s="19"/>
      <c r="O21" s="20"/>
    </row>
    <row r="22" customFormat="false" ht="15" hidden="false" customHeight="false" outlineLevel="0" collapsed="false">
      <c r="A22" s="15"/>
      <c r="B22" s="19"/>
      <c r="C22" s="19"/>
      <c r="D22" s="19"/>
      <c r="E22" s="19"/>
      <c r="F22" s="19"/>
      <c r="G22" s="19"/>
      <c r="H22" s="19"/>
      <c r="I22" s="19"/>
      <c r="J22" s="19"/>
      <c r="K22" s="19"/>
      <c r="L22" s="19"/>
      <c r="M22" s="19"/>
      <c r="N22" s="19"/>
      <c r="O22" s="20"/>
    </row>
    <row r="23" customFormat="false" ht="15" hidden="false" customHeight="false" outlineLevel="0" collapsed="false">
      <c r="A23" s="15"/>
      <c r="B23" s="19"/>
      <c r="C23" s="19"/>
      <c r="D23" s="19"/>
      <c r="E23" s="19"/>
      <c r="F23" s="19"/>
      <c r="G23" s="19"/>
      <c r="H23" s="19"/>
      <c r="I23" s="19"/>
      <c r="J23" s="19"/>
      <c r="K23" s="19"/>
      <c r="L23" s="19"/>
      <c r="M23" s="19"/>
      <c r="N23" s="19"/>
      <c r="O23" s="20"/>
    </row>
    <row r="24" customFormat="false" ht="15" hidden="false" customHeight="false" outlineLevel="0" collapsed="false">
      <c r="A24" s="15"/>
      <c r="B24" s="19"/>
      <c r="C24" s="19"/>
      <c r="D24" s="19"/>
      <c r="E24" s="19"/>
      <c r="F24" s="19"/>
      <c r="G24" s="19"/>
      <c r="H24" s="19"/>
      <c r="I24" s="19"/>
      <c r="J24" s="19"/>
      <c r="K24" s="19"/>
      <c r="L24" s="19"/>
      <c r="M24" s="19"/>
      <c r="N24" s="19"/>
      <c r="O24" s="20"/>
    </row>
    <row r="25" customFormat="false" ht="15" hidden="false" customHeight="false" outlineLevel="0" collapsed="false">
      <c r="A25" s="15"/>
      <c r="B25" s="19"/>
      <c r="C25" s="19"/>
      <c r="D25" s="19"/>
      <c r="E25" s="19"/>
      <c r="F25" s="19"/>
      <c r="G25" s="19"/>
      <c r="H25" s="19"/>
      <c r="I25" s="19"/>
      <c r="J25" s="19"/>
      <c r="K25" s="19"/>
      <c r="L25" s="19"/>
      <c r="M25" s="19"/>
      <c r="N25" s="19"/>
      <c r="O25" s="20"/>
    </row>
    <row r="26" customFormat="false" ht="15" hidden="false" customHeight="false" outlineLevel="0" collapsed="false">
      <c r="A26" s="15"/>
      <c r="B26" s="19"/>
      <c r="C26" s="19"/>
      <c r="D26" s="19"/>
      <c r="E26" s="19"/>
      <c r="F26" s="19"/>
      <c r="G26" s="19"/>
      <c r="H26" s="19"/>
      <c r="I26" s="19"/>
      <c r="J26" s="19"/>
      <c r="K26" s="19"/>
      <c r="L26" s="19"/>
      <c r="M26" s="19"/>
      <c r="N26" s="19"/>
      <c r="O26" s="20"/>
    </row>
    <row r="27" customFormat="false" ht="15" hidden="false" customHeight="false" outlineLevel="0" collapsed="false">
      <c r="A27" s="15"/>
      <c r="B27" s="19"/>
      <c r="C27" s="19"/>
      <c r="D27" s="19"/>
      <c r="E27" s="19"/>
      <c r="F27" s="19"/>
      <c r="G27" s="19"/>
      <c r="H27" s="19"/>
      <c r="I27" s="19"/>
      <c r="J27" s="19"/>
      <c r="K27" s="19"/>
      <c r="L27" s="19"/>
      <c r="M27" s="19"/>
      <c r="N27" s="19"/>
      <c r="O27" s="20"/>
    </row>
    <row r="28" customFormat="false" ht="15" hidden="false" customHeight="false" outlineLevel="0" collapsed="false">
      <c r="A28" s="15"/>
      <c r="B28" s="19"/>
      <c r="C28" s="19"/>
      <c r="D28" s="19"/>
      <c r="E28" s="19"/>
      <c r="F28" s="19"/>
      <c r="G28" s="19"/>
      <c r="H28" s="19"/>
      <c r="I28" s="19"/>
      <c r="J28" s="19"/>
      <c r="K28" s="19"/>
      <c r="L28" s="19"/>
      <c r="M28" s="19"/>
      <c r="N28" s="19"/>
      <c r="O28" s="20"/>
    </row>
    <row r="29" customFormat="false" ht="15" hidden="false" customHeight="false" outlineLevel="0" collapsed="false">
      <c r="A29" s="15"/>
      <c r="B29" s="19"/>
      <c r="C29" s="19"/>
      <c r="D29" s="19"/>
      <c r="E29" s="19"/>
      <c r="F29" s="19"/>
      <c r="G29" s="19"/>
      <c r="H29" s="19"/>
      <c r="I29" s="19"/>
      <c r="J29" s="19"/>
      <c r="K29" s="19"/>
      <c r="L29" s="19"/>
      <c r="M29" s="19"/>
      <c r="N29" s="19"/>
      <c r="O29" s="20"/>
    </row>
    <row r="30" customFormat="false" ht="15" hidden="false" customHeight="false" outlineLevel="0" collapsed="false">
      <c r="A30" s="15"/>
      <c r="B30" s="19"/>
      <c r="C30" s="19"/>
      <c r="D30" s="19"/>
      <c r="E30" s="19"/>
      <c r="F30" s="19"/>
      <c r="G30" s="19"/>
      <c r="H30" s="19"/>
      <c r="I30" s="19"/>
      <c r="J30" s="19"/>
      <c r="K30" s="19"/>
      <c r="L30" s="19"/>
      <c r="M30" s="19"/>
      <c r="N30" s="19"/>
      <c r="O30" s="20"/>
    </row>
    <row r="31" customFormat="false" ht="15" hidden="false" customHeight="false" outlineLevel="0" collapsed="false">
      <c r="A31" s="15"/>
      <c r="B31" s="19"/>
      <c r="C31" s="19"/>
      <c r="D31" s="19"/>
      <c r="E31" s="19"/>
      <c r="F31" s="19"/>
      <c r="G31" s="19"/>
      <c r="H31" s="19"/>
      <c r="I31" s="19"/>
      <c r="J31" s="19"/>
      <c r="K31" s="19"/>
      <c r="L31" s="19"/>
      <c r="M31" s="19"/>
      <c r="N31" s="19"/>
      <c r="O31" s="20"/>
    </row>
    <row r="32" customFormat="false" ht="15" hidden="false" customHeight="false" outlineLevel="0" collapsed="false">
      <c r="A32" s="15"/>
      <c r="B32" s="19"/>
      <c r="C32" s="19"/>
      <c r="D32" s="19"/>
      <c r="E32" s="19"/>
      <c r="F32" s="19"/>
      <c r="G32" s="19"/>
      <c r="H32" s="19"/>
      <c r="I32" s="19"/>
      <c r="J32" s="19"/>
      <c r="K32" s="19"/>
      <c r="L32" s="19"/>
      <c r="M32" s="19"/>
      <c r="N32" s="19"/>
      <c r="O32" s="20"/>
    </row>
    <row r="33" customFormat="false" ht="15" hidden="false" customHeight="false" outlineLevel="0" collapsed="false">
      <c r="A33" s="15"/>
      <c r="B33" s="19"/>
      <c r="C33" s="19"/>
      <c r="D33" s="19"/>
      <c r="E33" s="19"/>
      <c r="F33" s="19"/>
      <c r="G33" s="19"/>
      <c r="H33" s="19"/>
      <c r="I33" s="19"/>
      <c r="J33" s="19"/>
      <c r="K33" s="19"/>
      <c r="L33" s="19"/>
      <c r="M33" s="19"/>
      <c r="N33" s="19"/>
      <c r="O33" s="20"/>
    </row>
    <row r="34" customFormat="false" ht="15" hidden="false" customHeight="false" outlineLevel="0" collapsed="false">
      <c r="A34" s="15"/>
      <c r="B34" s="19"/>
      <c r="C34" s="19"/>
      <c r="D34" s="19"/>
      <c r="E34" s="19"/>
      <c r="F34" s="19"/>
      <c r="G34" s="19"/>
      <c r="H34" s="19"/>
      <c r="I34" s="19"/>
      <c r="J34" s="19"/>
      <c r="K34" s="19"/>
      <c r="L34" s="19"/>
      <c r="M34" s="19"/>
      <c r="N34" s="19"/>
      <c r="O34" s="20"/>
    </row>
    <row r="35" customFormat="false" ht="15" hidden="false" customHeight="false" outlineLevel="0" collapsed="false">
      <c r="A35" s="15"/>
      <c r="B35" s="19"/>
      <c r="C35" s="19"/>
      <c r="D35" s="19"/>
      <c r="E35" s="19"/>
      <c r="F35" s="19"/>
      <c r="G35" s="19"/>
      <c r="H35" s="19"/>
      <c r="I35" s="19"/>
      <c r="J35" s="19"/>
      <c r="K35" s="19"/>
      <c r="L35" s="19"/>
      <c r="M35" s="19"/>
      <c r="N35" s="19"/>
      <c r="O35" s="20"/>
    </row>
    <row r="36" customFormat="false" ht="15" hidden="false" customHeight="false" outlineLevel="0" collapsed="false">
      <c r="A36" s="15"/>
      <c r="B36" s="19"/>
      <c r="C36" s="19"/>
      <c r="D36" s="19"/>
      <c r="E36" s="19"/>
      <c r="F36" s="19"/>
      <c r="G36" s="19"/>
      <c r="H36" s="19"/>
      <c r="I36" s="19"/>
      <c r="J36" s="19"/>
      <c r="K36" s="19"/>
      <c r="L36" s="19"/>
      <c r="M36" s="19"/>
      <c r="N36" s="19"/>
      <c r="O36" s="20"/>
    </row>
    <row r="37" customFormat="false" ht="15" hidden="false" customHeight="false" outlineLevel="0" collapsed="false">
      <c r="A37" s="15"/>
      <c r="B37" s="19"/>
      <c r="C37" s="19"/>
      <c r="D37" s="19"/>
      <c r="E37" s="19"/>
      <c r="F37" s="19"/>
      <c r="G37" s="19"/>
      <c r="H37" s="19"/>
      <c r="I37" s="19"/>
      <c r="J37" s="19"/>
      <c r="K37" s="19"/>
      <c r="L37" s="19"/>
      <c r="M37" s="19"/>
      <c r="N37" s="19"/>
      <c r="O37" s="20"/>
    </row>
    <row r="38" customFormat="false" ht="15" hidden="false" customHeight="false" outlineLevel="0" collapsed="false">
      <c r="A38" s="15"/>
      <c r="B38" s="19"/>
      <c r="C38" s="19"/>
      <c r="D38" s="19"/>
      <c r="E38" s="19"/>
      <c r="F38" s="19"/>
      <c r="G38" s="19"/>
      <c r="H38" s="19"/>
      <c r="I38" s="19"/>
      <c r="J38" s="19"/>
      <c r="K38" s="19"/>
      <c r="L38" s="19"/>
      <c r="M38" s="19"/>
      <c r="N38" s="19"/>
      <c r="O38" s="20"/>
    </row>
    <row r="39" customFormat="false" ht="15" hidden="false" customHeight="false" outlineLevel="0" collapsed="false">
      <c r="A39" s="15"/>
      <c r="B39" s="19"/>
      <c r="C39" s="19"/>
      <c r="D39" s="19"/>
      <c r="E39" s="19"/>
      <c r="F39" s="19"/>
      <c r="G39" s="19"/>
      <c r="H39" s="19"/>
      <c r="I39" s="19"/>
      <c r="J39" s="19"/>
      <c r="K39" s="19"/>
      <c r="L39" s="19"/>
      <c r="M39" s="19"/>
      <c r="N39" s="19"/>
      <c r="O39" s="20"/>
    </row>
    <row r="40" customFormat="false" ht="15" hidden="false" customHeight="false" outlineLevel="0" collapsed="false">
      <c r="A40" s="15"/>
      <c r="B40" s="19"/>
      <c r="C40" s="19"/>
      <c r="D40" s="19"/>
      <c r="E40" s="19"/>
      <c r="F40" s="19"/>
      <c r="G40" s="19"/>
      <c r="H40" s="19"/>
      <c r="I40" s="19"/>
      <c r="J40" s="19"/>
      <c r="K40" s="19"/>
      <c r="L40" s="19"/>
      <c r="M40" s="19"/>
      <c r="N40" s="19"/>
      <c r="O40" s="20"/>
    </row>
    <row r="41" customFormat="false" ht="15" hidden="false" customHeight="false" outlineLevel="0" collapsed="false">
      <c r="A41" s="15"/>
      <c r="B41" s="19"/>
      <c r="C41" s="19"/>
      <c r="D41" s="19"/>
      <c r="E41" s="19"/>
      <c r="F41" s="19"/>
      <c r="G41" s="19"/>
      <c r="H41" s="19"/>
      <c r="I41" s="19"/>
      <c r="J41" s="19"/>
      <c r="K41" s="19"/>
      <c r="L41" s="19"/>
      <c r="M41" s="19"/>
      <c r="N41" s="19"/>
      <c r="O41" s="20"/>
    </row>
  </sheetData>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2" min="2" style="0" width="11"/>
  </cols>
  <sheetData>
    <row r="1" customFormat="false" ht="17.35" hidden="false" customHeight="false" outlineLevel="0" collapsed="false">
      <c r="A1" s="1" t="s">
        <v>122</v>
      </c>
      <c r="B1" s="1"/>
      <c r="C1" s="1"/>
      <c r="D1" s="1"/>
      <c r="E1" s="1"/>
      <c r="F1" s="1"/>
      <c r="G1" s="1"/>
      <c r="H1" s="1"/>
      <c r="I1" s="1"/>
      <c r="J1" s="1"/>
      <c r="K1" s="1"/>
      <c r="L1" s="1"/>
    </row>
    <row r="2" customFormat="false" ht="15" hidden="false" customHeight="false" outlineLevel="0" collapsed="false">
      <c r="A2" s="21" t="s">
        <v>119</v>
      </c>
      <c r="B2" s="22" t="s">
        <v>69</v>
      </c>
      <c r="C2" s="22" t="s">
        <v>94</v>
      </c>
      <c r="D2" s="22" t="s">
        <v>99</v>
      </c>
      <c r="E2" s="22" t="s">
        <v>104</v>
      </c>
      <c r="F2" s="22" t="s">
        <v>114</v>
      </c>
      <c r="G2" s="22" t="s">
        <v>79</v>
      </c>
      <c r="H2" s="22" t="s">
        <v>84</v>
      </c>
      <c r="I2" s="22" t="s">
        <v>109</v>
      </c>
      <c r="J2" s="22" t="s">
        <v>89</v>
      </c>
      <c r="K2" s="22" t="s">
        <v>59</v>
      </c>
      <c r="L2" s="22" t="s">
        <v>74</v>
      </c>
      <c r="M2" s="22" t="s">
        <v>115</v>
      </c>
      <c r="N2" s="22" t="s">
        <v>97</v>
      </c>
      <c r="O2" s="22" t="s">
        <v>70</v>
      </c>
      <c r="P2" s="22" t="s">
        <v>85</v>
      </c>
      <c r="Q2" s="22" t="s">
        <v>112</v>
      </c>
      <c r="R2" s="22" t="s">
        <v>67</v>
      </c>
      <c r="S2" s="22" t="s">
        <v>100</v>
      </c>
      <c r="T2" s="22" t="s">
        <v>82</v>
      </c>
      <c r="U2" s="22" t="s">
        <v>102</v>
      </c>
      <c r="V2" s="22" t="s">
        <v>76</v>
      </c>
      <c r="W2" s="22" t="s">
        <v>64</v>
      </c>
      <c r="X2" s="22" t="s">
        <v>90</v>
      </c>
      <c r="Y2" s="22" t="s">
        <v>86</v>
      </c>
      <c r="Z2" s="22" t="s">
        <v>91</v>
      </c>
      <c r="AA2" s="22" t="s">
        <v>116</v>
      </c>
      <c r="AB2" s="22" t="s">
        <v>117</v>
      </c>
      <c r="AC2" s="22" t="s">
        <v>72</v>
      </c>
      <c r="AD2" s="22" t="s">
        <v>106</v>
      </c>
      <c r="AE2" s="22" t="s">
        <v>75</v>
      </c>
      <c r="AF2" s="22" t="s">
        <v>66</v>
      </c>
    </row>
    <row r="3" customFormat="false" ht="15" hidden="false" customHeight="false" outlineLevel="0" collapsed="false">
      <c r="A3" s="21" t="s">
        <v>120</v>
      </c>
      <c r="B3" s="22" t="s">
        <v>94</v>
      </c>
      <c r="C3" s="22" t="s">
        <v>94</v>
      </c>
      <c r="D3" s="22" t="s">
        <v>99</v>
      </c>
      <c r="E3" s="22" t="s">
        <v>114</v>
      </c>
      <c r="F3" s="22" t="s">
        <v>114</v>
      </c>
      <c r="G3" s="22" t="s">
        <v>79</v>
      </c>
      <c r="H3" s="22" t="s">
        <v>109</v>
      </c>
      <c r="I3" s="22" t="s">
        <v>109</v>
      </c>
      <c r="J3" s="22" t="s">
        <v>89</v>
      </c>
      <c r="K3" s="22" t="s">
        <v>74</v>
      </c>
      <c r="L3" s="22" t="s">
        <v>74</v>
      </c>
      <c r="M3" s="22" t="s">
        <v>115</v>
      </c>
      <c r="N3" s="22" t="s">
        <v>70</v>
      </c>
      <c r="O3" s="22" t="s">
        <v>70</v>
      </c>
      <c r="P3" s="22" t="s">
        <v>85</v>
      </c>
      <c r="Q3" s="22" t="s">
        <v>67</v>
      </c>
      <c r="R3" s="22" t="s">
        <v>67</v>
      </c>
      <c r="S3" s="22" t="s">
        <v>100</v>
      </c>
      <c r="T3" s="22" t="s">
        <v>82</v>
      </c>
      <c r="U3" s="22" t="s">
        <v>102</v>
      </c>
      <c r="V3" s="22" t="s">
        <v>76</v>
      </c>
      <c r="W3" s="22" t="s">
        <v>64</v>
      </c>
      <c r="X3" s="22" t="s">
        <v>90</v>
      </c>
      <c r="Y3" s="22" t="s">
        <v>86</v>
      </c>
      <c r="Z3" s="22" t="s">
        <v>91</v>
      </c>
      <c r="AA3" s="22" t="s">
        <v>116</v>
      </c>
      <c r="AB3" s="22" t="s">
        <v>117</v>
      </c>
      <c r="AC3" s="22" t="s">
        <v>72</v>
      </c>
      <c r="AD3" s="22" t="s">
        <v>106</v>
      </c>
      <c r="AE3" s="22" t="s">
        <v>75</v>
      </c>
      <c r="AF3" s="22" t="s">
        <v>66</v>
      </c>
    </row>
    <row r="4" customFormat="false" ht="15" hidden="false" customHeight="false" outlineLevel="0" collapsed="false">
      <c r="A4" s="21" t="s">
        <v>121</v>
      </c>
      <c r="B4" s="22" t="s">
        <v>94</v>
      </c>
      <c r="C4" s="22" t="s">
        <v>94</v>
      </c>
      <c r="D4" s="22" t="s">
        <v>104</v>
      </c>
      <c r="E4" s="22" t="s">
        <v>114</v>
      </c>
      <c r="F4" s="22" t="s">
        <v>114</v>
      </c>
      <c r="G4" s="22" t="s">
        <v>79</v>
      </c>
      <c r="H4" s="22" t="s">
        <v>109</v>
      </c>
      <c r="I4" s="22" t="s">
        <v>109</v>
      </c>
      <c r="J4" s="22" t="s">
        <v>89</v>
      </c>
      <c r="K4" s="22" t="s">
        <v>74</v>
      </c>
      <c r="L4" s="22" t="s">
        <v>74</v>
      </c>
      <c r="M4" s="22" t="s">
        <v>115</v>
      </c>
      <c r="N4" s="22" t="s">
        <v>70</v>
      </c>
      <c r="O4" s="22" t="s">
        <v>70</v>
      </c>
      <c r="P4" s="22" t="s">
        <v>85</v>
      </c>
      <c r="Q4" s="22" t="s">
        <v>67</v>
      </c>
      <c r="R4" s="22" t="s">
        <v>67</v>
      </c>
      <c r="S4" s="22" t="s">
        <v>100</v>
      </c>
      <c r="T4" s="22" t="s">
        <v>102</v>
      </c>
      <c r="U4" s="22" t="s">
        <v>102</v>
      </c>
      <c r="V4" s="22" t="s">
        <v>76</v>
      </c>
      <c r="W4" s="22" t="s">
        <v>90</v>
      </c>
      <c r="X4" s="22" t="s">
        <v>90</v>
      </c>
      <c r="Y4" s="22" t="s">
        <v>86</v>
      </c>
      <c r="Z4" s="22" t="s">
        <v>116</v>
      </c>
      <c r="AA4" s="22" t="s">
        <v>116</v>
      </c>
      <c r="AB4" s="22" t="s">
        <v>117</v>
      </c>
      <c r="AC4" s="22" t="s">
        <v>106</v>
      </c>
      <c r="AD4" s="22" t="s">
        <v>106</v>
      </c>
      <c r="AE4" s="22" t="s">
        <v>75</v>
      </c>
      <c r="AF4" s="22" t="s">
        <v>69</v>
      </c>
    </row>
    <row r="5" customFormat="false" ht="15" hidden="false" customHeight="false" outlineLevel="0" collapsed="false">
      <c r="A5" s="23"/>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row>
    <row r="6" customFormat="false" ht="15" hidden="false" customHeight="false" outlineLevel="0" collapsed="false">
      <c r="A6" s="23"/>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row>
    <row r="7" customFormat="false" ht="15" hidden="false" customHeight="false" outlineLevel="0" collapsed="false">
      <c r="A7" s="23"/>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row>
    <row r="8" customFormat="false" ht="15" hidden="false" customHeight="false" outlineLevel="0" collapsed="false">
      <c r="A8" s="23"/>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row>
    <row r="9" customFormat="false" ht="15" hidden="false" customHeight="false" outlineLevel="0" collapsed="false">
      <c r="A9" s="23"/>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row>
    <row r="10" customFormat="false" ht="15" hidden="false" customHeight="false" outlineLevel="0" collapsed="false">
      <c r="A10" s="23"/>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row>
    <row r="11" customFormat="false" ht="15" hidden="false" customHeight="false" outlineLevel="0" collapsed="false">
      <c r="A11" s="23"/>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row>
    <row r="12" customFormat="false" ht="15" hidden="false" customHeight="false" outlineLevel="0" collapsed="false">
      <c r="A12" s="23"/>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row>
    <row r="13" customFormat="false" ht="15" hidden="false" customHeight="false" outlineLevel="0" collapsed="false">
      <c r="A13" s="23"/>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row>
    <row r="14" customFormat="false" ht="15" hidden="false" customHeight="false" outlineLevel="0" collapsed="false">
      <c r="A14" s="23"/>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row>
    <row r="15" customFormat="false" ht="15" hidden="false" customHeight="false" outlineLevel="0" collapsed="false">
      <c r="A15" s="23"/>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row>
    <row r="16" customFormat="false" ht="15" hidden="false" customHeight="false" outlineLevel="0" collapsed="false">
      <c r="A16" s="23"/>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row>
    <row r="17" customFormat="false" ht="15" hidden="false" customHeight="false" outlineLevel="0" collapsed="false">
      <c r="A17" s="23"/>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row>
    <row r="18" customFormat="false" ht="15" hidden="false" customHeight="false" outlineLevel="0" collapsed="false">
      <c r="A18" s="23"/>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row>
    <row r="19" customFormat="false" ht="15" hidden="false" customHeight="false" outlineLevel="0" collapsed="false">
      <c r="A19" s="23"/>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row>
    <row r="20" customFormat="false" ht="15" hidden="false" customHeight="false" outlineLevel="0" collapsed="false">
      <c r="A20" s="23"/>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row>
    <row r="21" customFormat="false" ht="15" hidden="false" customHeight="false" outlineLevel="0" collapsed="false">
      <c r="A21" s="23"/>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row>
    <row r="22" customFormat="false" ht="15" hidden="false" customHeight="false" outlineLevel="0" collapsed="false">
      <c r="A22" s="23"/>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row>
    <row r="23" customFormat="false" ht="15" hidden="false" customHeight="false" outlineLevel="0" collapsed="false">
      <c r="A23" s="23"/>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row>
    <row r="24" customFormat="false" ht="15" hidden="false" customHeight="false" outlineLevel="0" collapsed="false">
      <c r="A24" s="23"/>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row>
    <row r="25" customFormat="false" ht="15" hidden="false" customHeight="false" outlineLevel="0" collapsed="false">
      <c r="A25" s="23"/>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row>
    <row r="26" customFormat="false" ht="15" hidden="false" customHeight="false" outlineLevel="0" collapsed="false">
      <c r="A26" s="23"/>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row>
    <row r="27" customFormat="false" ht="15" hidden="false" customHeight="false" outlineLevel="0" collapsed="false">
      <c r="A27" s="23"/>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row>
    <row r="28" customFormat="false" ht="15" hidden="false" customHeight="false" outlineLevel="0" collapsed="false">
      <c r="A28" s="23"/>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row>
    <row r="29" customFormat="false" ht="15" hidden="false" customHeight="false" outlineLevel="0" collapsed="false">
      <c r="A29" s="23"/>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row>
    <row r="30" customFormat="false" ht="15" hidden="false" customHeight="false" outlineLevel="0" collapsed="false">
      <c r="A30" s="23"/>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row>
    <row r="31" customFormat="false" ht="15" hidden="false" customHeight="false" outlineLevel="0" collapsed="false">
      <c r="A31" s="23"/>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row>
    <row r="32" customFormat="false" ht="15" hidden="false" customHeight="false" outlineLevel="0" collapsed="false">
      <c r="A32" s="23"/>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row>
    <row r="33" customFormat="false" ht="15" hidden="false" customHeight="false" outlineLevel="0" collapsed="false">
      <c r="A33" s="23"/>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row>
    <row r="34" customFormat="false" ht="15" hidden="false" customHeight="false" outlineLevel="0" collapsed="false">
      <c r="A34" s="23"/>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row>
    <row r="35" customFormat="false" ht="15" hidden="false" customHeight="false" outlineLevel="0" collapsed="false">
      <c r="A35" s="23"/>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row>
    <row r="36" customFormat="false" ht="15" hidden="false" customHeight="false" outlineLevel="0" collapsed="false">
      <c r="A36" s="23"/>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customFormat="false" ht="15" hidden="false" customHeight="false" outlineLevel="0" collapsed="false">
      <c r="A37" s="23"/>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row>
    <row r="38" customFormat="false" ht="15" hidden="false" customHeight="false" outlineLevel="0" collapsed="false">
      <c r="A38" s="2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customFormat="false" ht="15" hidden="false" customHeight="false" outlineLevel="0" collapsed="false">
      <c r="A39" s="2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customFormat="false" ht="15" hidden="false" customHeight="false" outlineLevel="0" collapsed="false">
      <c r="A40" s="2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customFormat="false" ht="15" hidden="false" customHeight="false" outlineLevel="0" collapsed="false">
      <c r="A41" s="2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3" min="2" style="0" width="11"/>
    <col collapsed="false" customWidth="true" hidden="false" outlineLevel="0" max="14" min="14" style="0" width="16"/>
    <col collapsed="false" customWidth="true" hidden="false" outlineLevel="0" max="15" min="15" style="0" width="11"/>
    <col collapsed="false" customWidth="true" hidden="false" outlineLevel="0" max="16" min="16" style="0" width="14"/>
    <col collapsed="false" customWidth="true" hidden="false" outlineLevel="0" max="32" min="17" style="0" width="11"/>
  </cols>
  <sheetData>
    <row r="1" customFormat="false" ht="17.35" hidden="false" customHeight="false" outlineLevel="0" collapsed="false">
      <c r="A1" s="1" t="s">
        <v>123</v>
      </c>
      <c r="B1" s="1"/>
      <c r="C1" s="1"/>
      <c r="D1" s="1"/>
      <c r="E1" s="1"/>
      <c r="F1" s="1"/>
    </row>
    <row r="2" customFormat="false" ht="15" hidden="false" customHeight="false" outlineLevel="0" collapsed="false">
      <c r="A2" s="9" t="s">
        <v>124</v>
      </c>
    </row>
    <row r="4" customFormat="false" ht="22.35" hidden="false" customHeight="false" outlineLevel="0" collapsed="false">
      <c r="A4" s="25" t="s">
        <v>125</v>
      </c>
      <c r="B4" s="26" t="s">
        <v>58</v>
      </c>
      <c r="C4" s="26" t="s">
        <v>63</v>
      </c>
      <c r="D4" s="26" t="s">
        <v>68</v>
      </c>
      <c r="E4" s="26" t="s">
        <v>73</v>
      </c>
      <c r="F4" s="26" t="s">
        <v>78</v>
      </c>
      <c r="G4" s="26" t="s">
        <v>83</v>
      </c>
      <c r="H4" s="26" t="s">
        <v>88</v>
      </c>
      <c r="I4" s="26" t="s">
        <v>93</v>
      </c>
      <c r="J4" s="26" t="s">
        <v>98</v>
      </c>
      <c r="K4" s="26" t="s">
        <v>103</v>
      </c>
      <c r="L4" s="26" t="s">
        <v>108</v>
      </c>
      <c r="M4" s="26" t="s">
        <v>113</v>
      </c>
      <c r="N4" s="26" t="s">
        <v>126</v>
      </c>
      <c r="P4" s="26" t="s">
        <v>127</v>
      </c>
    </row>
    <row r="5" customFormat="false" ht="23.85" hidden="false" customHeight="false" outlineLevel="0" collapsed="false">
      <c r="A5" s="5" t="s">
        <v>128</v>
      </c>
      <c r="B5" s="8" t="s">
        <v>59</v>
      </c>
      <c r="C5" s="8" t="s">
        <v>67</v>
      </c>
      <c r="D5" s="8" t="s">
        <v>69</v>
      </c>
      <c r="E5" s="8" t="s">
        <v>74</v>
      </c>
      <c r="F5" s="8" t="s">
        <v>79</v>
      </c>
      <c r="G5" s="8" t="s">
        <v>84</v>
      </c>
      <c r="H5" s="8" t="s">
        <v>89</v>
      </c>
      <c r="I5" s="8" t="s">
        <v>94</v>
      </c>
      <c r="J5" s="8" t="s">
        <v>99</v>
      </c>
      <c r="K5" s="8" t="s">
        <v>104</v>
      </c>
      <c r="L5" s="8" t="s">
        <v>109</v>
      </c>
      <c r="M5" s="8" t="s">
        <v>114</v>
      </c>
      <c r="N5" s="8" t="s">
        <v>71</v>
      </c>
      <c r="P5" s="27" t="n">
        <v>145</v>
      </c>
    </row>
    <row r="8" customFormat="false" ht="15" hidden="false" customHeight="false" outlineLevel="0" collapsed="false">
      <c r="A8" s="25" t="s">
        <v>129</v>
      </c>
      <c r="B8" s="26" t="s">
        <v>130</v>
      </c>
      <c r="C8" s="26" t="s">
        <v>131</v>
      </c>
      <c r="D8" s="26" t="s">
        <v>132</v>
      </c>
      <c r="E8" s="26" t="s">
        <v>133</v>
      </c>
      <c r="F8" s="26" t="s">
        <v>134</v>
      </c>
      <c r="G8" s="26" t="s">
        <v>135</v>
      </c>
      <c r="H8" s="26" t="s">
        <v>136</v>
      </c>
      <c r="I8" s="26" t="s">
        <v>137</v>
      </c>
      <c r="J8" s="26" t="s">
        <v>138</v>
      </c>
      <c r="K8" s="26" t="s">
        <v>139</v>
      </c>
      <c r="L8" s="26" t="s">
        <v>140</v>
      </c>
      <c r="M8" s="26" t="s">
        <v>141</v>
      </c>
      <c r="N8" s="26" t="s">
        <v>142</v>
      </c>
      <c r="O8" s="26" t="s">
        <v>143</v>
      </c>
      <c r="P8" s="26" t="s">
        <v>144</v>
      </c>
      <c r="Q8" s="26" t="s">
        <v>145</v>
      </c>
      <c r="R8" s="26" t="s">
        <v>146</v>
      </c>
      <c r="S8" s="26" t="s">
        <v>147</v>
      </c>
      <c r="T8" s="26" t="s">
        <v>148</v>
      </c>
      <c r="U8" s="26" t="s">
        <v>149</v>
      </c>
      <c r="V8" s="26" t="s">
        <v>150</v>
      </c>
      <c r="W8" s="26" t="s">
        <v>151</v>
      </c>
      <c r="X8" s="26" t="s">
        <v>152</v>
      </c>
      <c r="Y8" s="26" t="s">
        <v>153</v>
      </c>
      <c r="Z8" s="26" t="s">
        <v>154</v>
      </c>
      <c r="AA8" s="26" t="s">
        <v>155</v>
      </c>
      <c r="AB8" s="26" t="s">
        <v>156</v>
      </c>
      <c r="AC8" s="26" t="s">
        <v>157</v>
      </c>
      <c r="AD8" s="26" t="s">
        <v>158</v>
      </c>
      <c r="AE8" s="26" t="s">
        <v>159</v>
      </c>
      <c r="AF8" s="26" t="s">
        <v>160</v>
      </c>
    </row>
    <row r="9" customFormat="false" ht="22.35" hidden="false" customHeight="false" outlineLevel="0" collapsed="false">
      <c r="A9" s="5" t="s">
        <v>128</v>
      </c>
      <c r="B9" s="28" t="s">
        <v>69</v>
      </c>
      <c r="C9" s="28" t="s">
        <v>94</v>
      </c>
      <c r="D9" s="28" t="s">
        <v>99</v>
      </c>
      <c r="E9" s="28" t="s">
        <v>104</v>
      </c>
      <c r="F9" s="28" t="s">
        <v>114</v>
      </c>
      <c r="G9" s="28" t="s">
        <v>79</v>
      </c>
      <c r="H9" s="28" t="s">
        <v>84</v>
      </c>
      <c r="I9" s="28" t="s">
        <v>109</v>
      </c>
      <c r="J9" s="28" t="s">
        <v>89</v>
      </c>
      <c r="K9" s="28" t="s">
        <v>59</v>
      </c>
      <c r="L9" s="28" t="s">
        <v>74</v>
      </c>
      <c r="M9" s="28" t="s">
        <v>115</v>
      </c>
      <c r="N9" s="28" t="s">
        <v>97</v>
      </c>
      <c r="O9" s="28" t="s">
        <v>70</v>
      </c>
      <c r="P9" s="28" t="s">
        <v>85</v>
      </c>
      <c r="Q9" s="28" t="s">
        <v>112</v>
      </c>
      <c r="R9" s="28" t="s">
        <v>67</v>
      </c>
      <c r="S9" s="28" t="s">
        <v>100</v>
      </c>
      <c r="T9" s="28" t="s">
        <v>82</v>
      </c>
      <c r="U9" s="28" t="s">
        <v>102</v>
      </c>
      <c r="V9" s="28" t="s">
        <v>76</v>
      </c>
      <c r="W9" s="28" t="s">
        <v>64</v>
      </c>
      <c r="X9" s="28" t="s">
        <v>90</v>
      </c>
      <c r="Y9" s="28" t="s">
        <v>86</v>
      </c>
      <c r="Z9" s="28" t="s">
        <v>91</v>
      </c>
      <c r="AA9" s="28" t="s">
        <v>116</v>
      </c>
      <c r="AB9" s="28" t="s">
        <v>117</v>
      </c>
      <c r="AC9" s="28" t="s">
        <v>72</v>
      </c>
      <c r="AD9" s="28" t="s">
        <v>106</v>
      </c>
      <c r="AE9" s="28" t="s">
        <v>75</v>
      </c>
      <c r="AF9" s="28" t="s">
        <v>66</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7" min="2" style="0" width="15"/>
  </cols>
  <sheetData>
    <row r="1" customFormat="false" ht="17.35" hidden="false" customHeight="false" outlineLevel="0" collapsed="false">
      <c r="A1" s="1" t="s">
        <v>161</v>
      </c>
      <c r="B1" s="1"/>
      <c r="C1" s="1"/>
      <c r="D1" s="1"/>
      <c r="E1" s="1"/>
      <c r="F1" s="1"/>
      <c r="G1" s="1"/>
    </row>
    <row r="3" customFormat="false" ht="23.85" hidden="false" customHeight="false" outlineLevel="0" collapsed="false">
      <c r="A3" s="13" t="s">
        <v>162</v>
      </c>
      <c r="B3" s="13" t="s">
        <v>163</v>
      </c>
      <c r="C3" s="13" t="s">
        <v>164</v>
      </c>
      <c r="D3" s="13" t="s">
        <v>165</v>
      </c>
      <c r="E3" s="13" t="s">
        <v>166</v>
      </c>
      <c r="F3" s="13" t="s">
        <v>167</v>
      </c>
      <c r="G3" s="13" t="s">
        <v>168</v>
      </c>
    </row>
    <row r="4" customFormat="false" ht="15" hidden="false" customHeight="false" outlineLevel="0" collapsed="false">
      <c r="A4" s="15" t="str">
        <f aca="false">IF('Group Picks'!A2="","",'Group Picks'!A2)</f>
        <v>Alice (sample)</v>
      </c>
      <c r="B4" s="29" t="n">
        <f aca="false">IF($A4="","",SUMPRODUCT(('Group Picks'!$B2:$M2=Results!$B$5:$M$5)*(Results!$B$5:$M$5&lt;&gt;"")))</f>
        <v>11</v>
      </c>
      <c r="C4" s="29" t="n">
        <f aca="false">IF($A4="","",IF(Results!$N$5="",0,IF('Group Picks'!$N2=Results!$N$5,1,0)))</f>
        <v>1</v>
      </c>
      <c r="D4" s="29" t="n">
        <f aca="false">IF($A4="","",B4*Settings!$B$5+C4*Settings!$B$6)</f>
        <v>16</v>
      </c>
      <c r="E4" s="29" t="n">
        <f aca="false">IF($A4="","",IF(Results!$P$5="","",ABS('Group Picks'!$O2-Results!$P$5)))</f>
        <v>5</v>
      </c>
      <c r="F4" s="29" t="n">
        <f aca="false">IF($A4="","",D4-IF(ISNUMBER(E4),E4,0)/1000)</f>
        <v>15.995</v>
      </c>
      <c r="G4" s="14" t="n">
        <f aca="false">IF($A4="","",RANK(F4,$F$4:$F$43,0))</f>
        <v>1</v>
      </c>
    </row>
    <row r="5" customFormat="false" ht="15" hidden="false" customHeight="false" outlineLevel="0" collapsed="false">
      <c r="A5" s="15" t="str">
        <f aca="false">IF('Group Picks'!A3="","",'Group Picks'!A3)</f>
        <v>Bob (sample)</v>
      </c>
      <c r="B5" s="29" t="n">
        <f aca="false">IF($A5="","",SUMPRODUCT(('Group Picks'!$B3:$M3=Results!$B$5:$M$5)*(Results!$B$5:$M$5&lt;&gt;"")))</f>
        <v>8</v>
      </c>
      <c r="C5" s="29" t="n">
        <f aca="false">IF($A5="","",IF(Results!$N$5="",0,IF('Group Picks'!$N3=Results!$N$5,1,0)))</f>
        <v>0</v>
      </c>
      <c r="D5" s="29" t="n">
        <f aca="false">IF($A5="","",B5*Settings!$B$5+C5*Settings!$B$6)</f>
        <v>8</v>
      </c>
      <c r="E5" s="29" t="n">
        <f aca="false">IF($A5="","",IF(Results!$P$5="","",ABS('Group Picks'!$O3-Results!$P$5)))</f>
        <v>15</v>
      </c>
      <c r="F5" s="29" t="n">
        <f aca="false">IF($A5="","",D5-IF(ISNUMBER(E5),E5,0)/1000)</f>
        <v>7.985</v>
      </c>
      <c r="G5" s="14" t="n">
        <f aca="false">IF($A5="","",RANK(F5,$F$4:$F$43,0))</f>
        <v>3</v>
      </c>
    </row>
    <row r="6" customFormat="false" ht="15" hidden="false" customHeight="false" outlineLevel="0" collapsed="false">
      <c r="A6" s="15" t="str">
        <f aca="false">IF('Group Picks'!A4="","",'Group Picks'!A4)</f>
        <v>Cara (sample)</v>
      </c>
      <c r="B6" s="29" t="n">
        <f aca="false">IF($A6="","",SUMPRODUCT(('Group Picks'!$B4:$M4=Results!$B$5:$M$5)*(Results!$B$5:$M$5&lt;&gt;"")))</f>
        <v>7</v>
      </c>
      <c r="C6" s="29" t="n">
        <f aca="false">IF($A6="","",IF(Results!$N$5="",0,IF('Group Picks'!$N4=Results!$N$5,1,0)))</f>
        <v>1</v>
      </c>
      <c r="D6" s="29" t="n">
        <f aca="false">IF($A6="","",B6*Settings!$B$5+C6*Settings!$B$6)</f>
        <v>12</v>
      </c>
      <c r="E6" s="29" t="n">
        <f aca="false">IF($A6="","",IF(Results!$P$5="","",ABS('Group Picks'!$O4-Results!$P$5)))</f>
        <v>0</v>
      </c>
      <c r="F6" s="29" t="n">
        <f aca="false">IF($A6="","",D6-IF(ISNUMBER(E6),E6,0)/1000)</f>
        <v>12</v>
      </c>
      <c r="G6" s="14" t="n">
        <f aca="false">IF($A6="","",RANK(F6,$F$4:$F$43,0))</f>
        <v>2</v>
      </c>
    </row>
    <row r="7" customFormat="false" ht="15" hidden="false" customHeight="false" outlineLevel="0" collapsed="false">
      <c r="A7" s="15" t="str">
        <f aca="false">IF('Group Picks'!A5="","",'Group Picks'!A5)</f>
        <v/>
      </c>
      <c r="B7" s="29" t="str">
        <f aca="false">IF($A7="","",SUMPRODUCT(('Group Picks'!$B5:$M5=Results!$B$5:$M$5)*(Results!$B$5:$M$5&lt;&gt;"")))</f>
        <v/>
      </c>
      <c r="C7" s="29" t="str">
        <f aca="false">IF($A7="","",IF(Results!$N$5="",0,IF('Group Picks'!$N5=Results!$N$5,1,0)))</f>
        <v/>
      </c>
      <c r="D7" s="29" t="str">
        <f aca="false">IF($A7="","",B7*Settings!$B$5+C7*Settings!$B$6)</f>
        <v/>
      </c>
      <c r="E7" s="29" t="str">
        <f aca="false">IF($A7="","",IF(Results!$P$5="","",ABS('Group Picks'!$O5-Results!$P$5)))</f>
        <v/>
      </c>
      <c r="F7" s="29" t="str">
        <f aca="false">IF($A7="","",D7-IF(ISNUMBER(E7),E7,0)/1000)</f>
        <v/>
      </c>
      <c r="G7" s="14" t="str">
        <f aca="false">IF($A7="","",RANK(F7,$F$4:$F$43,0))</f>
        <v/>
      </c>
    </row>
    <row r="8" customFormat="false" ht="15" hidden="false" customHeight="false" outlineLevel="0" collapsed="false">
      <c r="A8" s="15" t="str">
        <f aca="false">IF('Group Picks'!A6="","",'Group Picks'!A6)</f>
        <v/>
      </c>
      <c r="B8" s="29" t="str">
        <f aca="false">IF($A8="","",SUMPRODUCT(('Group Picks'!$B6:$M6=Results!$B$5:$M$5)*(Results!$B$5:$M$5&lt;&gt;"")))</f>
        <v/>
      </c>
      <c r="C8" s="29" t="str">
        <f aca="false">IF($A8="","",IF(Results!$N$5="",0,IF('Group Picks'!$N6=Results!$N$5,1,0)))</f>
        <v/>
      </c>
      <c r="D8" s="29" t="str">
        <f aca="false">IF($A8="","",B8*Settings!$B$5+C8*Settings!$B$6)</f>
        <v/>
      </c>
      <c r="E8" s="29" t="str">
        <f aca="false">IF($A8="","",IF(Results!$P$5="","",ABS('Group Picks'!$O6-Results!$P$5)))</f>
        <v/>
      </c>
      <c r="F8" s="29" t="str">
        <f aca="false">IF($A8="","",D8-IF(ISNUMBER(E8),E8,0)/1000)</f>
        <v/>
      </c>
      <c r="G8" s="14" t="str">
        <f aca="false">IF($A8="","",RANK(F8,$F$4:$F$43,0))</f>
        <v/>
      </c>
    </row>
    <row r="9" customFormat="false" ht="15" hidden="false" customHeight="false" outlineLevel="0" collapsed="false">
      <c r="A9" s="15" t="str">
        <f aca="false">IF('Group Picks'!A7="","",'Group Picks'!A7)</f>
        <v/>
      </c>
      <c r="B9" s="29" t="str">
        <f aca="false">IF($A9="","",SUMPRODUCT(('Group Picks'!$B7:$M7=Results!$B$5:$M$5)*(Results!$B$5:$M$5&lt;&gt;"")))</f>
        <v/>
      </c>
      <c r="C9" s="29" t="str">
        <f aca="false">IF($A9="","",IF(Results!$N$5="",0,IF('Group Picks'!$N7=Results!$N$5,1,0)))</f>
        <v/>
      </c>
      <c r="D9" s="29" t="str">
        <f aca="false">IF($A9="","",B9*Settings!$B$5+C9*Settings!$B$6)</f>
        <v/>
      </c>
      <c r="E9" s="29" t="str">
        <f aca="false">IF($A9="","",IF(Results!$P$5="","",ABS('Group Picks'!$O7-Results!$P$5)))</f>
        <v/>
      </c>
      <c r="F9" s="29" t="str">
        <f aca="false">IF($A9="","",D9-IF(ISNUMBER(E9),E9,0)/1000)</f>
        <v/>
      </c>
      <c r="G9" s="14" t="str">
        <f aca="false">IF($A9="","",RANK(F9,$F$4:$F$43,0))</f>
        <v/>
      </c>
    </row>
    <row r="10" customFormat="false" ht="15" hidden="false" customHeight="false" outlineLevel="0" collapsed="false">
      <c r="A10" s="15" t="str">
        <f aca="false">IF('Group Picks'!A8="","",'Group Picks'!A8)</f>
        <v/>
      </c>
      <c r="B10" s="29" t="str">
        <f aca="false">IF($A10="","",SUMPRODUCT(('Group Picks'!$B8:$M8=Results!$B$5:$M$5)*(Results!$B$5:$M$5&lt;&gt;"")))</f>
        <v/>
      </c>
      <c r="C10" s="29" t="str">
        <f aca="false">IF($A10="","",IF(Results!$N$5="",0,IF('Group Picks'!$N8=Results!$N$5,1,0)))</f>
        <v/>
      </c>
      <c r="D10" s="29" t="str">
        <f aca="false">IF($A10="","",B10*Settings!$B$5+C10*Settings!$B$6)</f>
        <v/>
      </c>
      <c r="E10" s="29" t="str">
        <f aca="false">IF($A10="","",IF(Results!$P$5="","",ABS('Group Picks'!$O8-Results!$P$5)))</f>
        <v/>
      </c>
      <c r="F10" s="29" t="str">
        <f aca="false">IF($A10="","",D10-IF(ISNUMBER(E10),E10,0)/1000)</f>
        <v/>
      </c>
      <c r="G10" s="14" t="str">
        <f aca="false">IF($A10="","",RANK(F10,$F$4:$F$43,0))</f>
        <v/>
      </c>
    </row>
    <row r="11" customFormat="false" ht="15" hidden="false" customHeight="false" outlineLevel="0" collapsed="false">
      <c r="A11" s="15" t="str">
        <f aca="false">IF('Group Picks'!A9="","",'Group Picks'!A9)</f>
        <v/>
      </c>
      <c r="B11" s="29" t="str">
        <f aca="false">IF($A11="","",SUMPRODUCT(('Group Picks'!$B9:$M9=Results!$B$5:$M$5)*(Results!$B$5:$M$5&lt;&gt;"")))</f>
        <v/>
      </c>
      <c r="C11" s="29" t="str">
        <f aca="false">IF($A11="","",IF(Results!$N$5="",0,IF('Group Picks'!$N9=Results!$N$5,1,0)))</f>
        <v/>
      </c>
      <c r="D11" s="29" t="str">
        <f aca="false">IF($A11="","",B11*Settings!$B$5+C11*Settings!$B$6)</f>
        <v/>
      </c>
      <c r="E11" s="29" t="str">
        <f aca="false">IF($A11="","",IF(Results!$P$5="","",ABS('Group Picks'!$O9-Results!$P$5)))</f>
        <v/>
      </c>
      <c r="F11" s="29" t="str">
        <f aca="false">IF($A11="","",D11-IF(ISNUMBER(E11),E11,0)/1000)</f>
        <v/>
      </c>
      <c r="G11" s="14" t="str">
        <f aca="false">IF($A11="","",RANK(F11,$F$4:$F$43,0))</f>
        <v/>
      </c>
    </row>
    <row r="12" customFormat="false" ht="15" hidden="false" customHeight="false" outlineLevel="0" collapsed="false">
      <c r="A12" s="15" t="str">
        <f aca="false">IF('Group Picks'!A10="","",'Group Picks'!A10)</f>
        <v/>
      </c>
      <c r="B12" s="29" t="str">
        <f aca="false">IF($A12="","",SUMPRODUCT(('Group Picks'!$B10:$M10=Results!$B$5:$M$5)*(Results!$B$5:$M$5&lt;&gt;"")))</f>
        <v/>
      </c>
      <c r="C12" s="29" t="str">
        <f aca="false">IF($A12="","",IF(Results!$N$5="",0,IF('Group Picks'!$N10=Results!$N$5,1,0)))</f>
        <v/>
      </c>
      <c r="D12" s="29" t="str">
        <f aca="false">IF($A12="","",B12*Settings!$B$5+C12*Settings!$B$6)</f>
        <v/>
      </c>
      <c r="E12" s="29" t="str">
        <f aca="false">IF($A12="","",IF(Results!$P$5="","",ABS('Group Picks'!$O10-Results!$P$5)))</f>
        <v/>
      </c>
      <c r="F12" s="29" t="str">
        <f aca="false">IF($A12="","",D12-IF(ISNUMBER(E12),E12,0)/1000)</f>
        <v/>
      </c>
      <c r="G12" s="14" t="str">
        <f aca="false">IF($A12="","",RANK(F12,$F$4:$F$43,0))</f>
        <v/>
      </c>
    </row>
    <row r="13" customFormat="false" ht="15" hidden="false" customHeight="false" outlineLevel="0" collapsed="false">
      <c r="A13" s="15" t="str">
        <f aca="false">IF('Group Picks'!A11="","",'Group Picks'!A11)</f>
        <v/>
      </c>
      <c r="B13" s="29" t="str">
        <f aca="false">IF($A13="","",SUMPRODUCT(('Group Picks'!$B11:$M11=Results!$B$5:$M$5)*(Results!$B$5:$M$5&lt;&gt;"")))</f>
        <v/>
      </c>
      <c r="C13" s="29" t="str">
        <f aca="false">IF($A13="","",IF(Results!$N$5="",0,IF('Group Picks'!$N11=Results!$N$5,1,0)))</f>
        <v/>
      </c>
      <c r="D13" s="29" t="str">
        <f aca="false">IF($A13="","",B13*Settings!$B$5+C13*Settings!$B$6)</f>
        <v/>
      </c>
      <c r="E13" s="29" t="str">
        <f aca="false">IF($A13="","",IF(Results!$P$5="","",ABS('Group Picks'!$O11-Results!$P$5)))</f>
        <v/>
      </c>
      <c r="F13" s="29" t="str">
        <f aca="false">IF($A13="","",D13-IF(ISNUMBER(E13),E13,0)/1000)</f>
        <v/>
      </c>
      <c r="G13" s="14" t="str">
        <f aca="false">IF($A13="","",RANK(F13,$F$4:$F$43,0))</f>
        <v/>
      </c>
    </row>
    <row r="14" customFormat="false" ht="15" hidden="false" customHeight="false" outlineLevel="0" collapsed="false">
      <c r="A14" s="15" t="str">
        <f aca="false">IF('Group Picks'!A12="","",'Group Picks'!A12)</f>
        <v/>
      </c>
      <c r="B14" s="29" t="str">
        <f aca="false">IF($A14="","",SUMPRODUCT(('Group Picks'!$B12:$M12=Results!$B$5:$M$5)*(Results!$B$5:$M$5&lt;&gt;"")))</f>
        <v/>
      </c>
      <c r="C14" s="29" t="str">
        <f aca="false">IF($A14="","",IF(Results!$N$5="",0,IF('Group Picks'!$N12=Results!$N$5,1,0)))</f>
        <v/>
      </c>
      <c r="D14" s="29" t="str">
        <f aca="false">IF($A14="","",B14*Settings!$B$5+C14*Settings!$B$6)</f>
        <v/>
      </c>
      <c r="E14" s="29" t="str">
        <f aca="false">IF($A14="","",IF(Results!$P$5="","",ABS('Group Picks'!$O12-Results!$P$5)))</f>
        <v/>
      </c>
      <c r="F14" s="29" t="str">
        <f aca="false">IF($A14="","",D14-IF(ISNUMBER(E14),E14,0)/1000)</f>
        <v/>
      </c>
      <c r="G14" s="14" t="str">
        <f aca="false">IF($A14="","",RANK(F14,$F$4:$F$43,0))</f>
        <v/>
      </c>
    </row>
    <row r="15" customFormat="false" ht="15" hidden="false" customHeight="false" outlineLevel="0" collapsed="false">
      <c r="A15" s="15" t="str">
        <f aca="false">IF('Group Picks'!A13="","",'Group Picks'!A13)</f>
        <v/>
      </c>
      <c r="B15" s="29" t="str">
        <f aca="false">IF($A15="","",SUMPRODUCT(('Group Picks'!$B13:$M13=Results!$B$5:$M$5)*(Results!$B$5:$M$5&lt;&gt;"")))</f>
        <v/>
      </c>
      <c r="C15" s="29" t="str">
        <f aca="false">IF($A15="","",IF(Results!$N$5="",0,IF('Group Picks'!$N13=Results!$N$5,1,0)))</f>
        <v/>
      </c>
      <c r="D15" s="29" t="str">
        <f aca="false">IF($A15="","",B15*Settings!$B$5+C15*Settings!$B$6)</f>
        <v/>
      </c>
      <c r="E15" s="29" t="str">
        <f aca="false">IF($A15="","",IF(Results!$P$5="","",ABS('Group Picks'!$O13-Results!$P$5)))</f>
        <v/>
      </c>
      <c r="F15" s="29" t="str">
        <f aca="false">IF($A15="","",D15-IF(ISNUMBER(E15),E15,0)/1000)</f>
        <v/>
      </c>
      <c r="G15" s="14" t="str">
        <f aca="false">IF($A15="","",RANK(F15,$F$4:$F$43,0))</f>
        <v/>
      </c>
    </row>
    <row r="16" customFormat="false" ht="15" hidden="false" customHeight="false" outlineLevel="0" collapsed="false">
      <c r="A16" s="15" t="str">
        <f aca="false">IF('Group Picks'!A14="","",'Group Picks'!A14)</f>
        <v/>
      </c>
      <c r="B16" s="29" t="str">
        <f aca="false">IF($A16="","",SUMPRODUCT(('Group Picks'!$B14:$M14=Results!$B$5:$M$5)*(Results!$B$5:$M$5&lt;&gt;"")))</f>
        <v/>
      </c>
      <c r="C16" s="29" t="str">
        <f aca="false">IF($A16="","",IF(Results!$N$5="",0,IF('Group Picks'!$N14=Results!$N$5,1,0)))</f>
        <v/>
      </c>
      <c r="D16" s="29" t="str">
        <f aca="false">IF($A16="","",B16*Settings!$B$5+C16*Settings!$B$6)</f>
        <v/>
      </c>
      <c r="E16" s="29" t="str">
        <f aca="false">IF($A16="","",IF(Results!$P$5="","",ABS('Group Picks'!$O14-Results!$P$5)))</f>
        <v/>
      </c>
      <c r="F16" s="29" t="str">
        <f aca="false">IF($A16="","",D16-IF(ISNUMBER(E16),E16,0)/1000)</f>
        <v/>
      </c>
      <c r="G16" s="14" t="str">
        <f aca="false">IF($A16="","",RANK(F16,$F$4:$F$43,0))</f>
        <v/>
      </c>
    </row>
    <row r="17" customFormat="false" ht="15" hidden="false" customHeight="false" outlineLevel="0" collapsed="false">
      <c r="A17" s="15" t="str">
        <f aca="false">IF('Group Picks'!A15="","",'Group Picks'!A15)</f>
        <v/>
      </c>
      <c r="B17" s="29" t="str">
        <f aca="false">IF($A17="","",SUMPRODUCT(('Group Picks'!$B15:$M15=Results!$B$5:$M$5)*(Results!$B$5:$M$5&lt;&gt;"")))</f>
        <v/>
      </c>
      <c r="C17" s="29" t="str">
        <f aca="false">IF($A17="","",IF(Results!$N$5="",0,IF('Group Picks'!$N15=Results!$N$5,1,0)))</f>
        <v/>
      </c>
      <c r="D17" s="29" t="str">
        <f aca="false">IF($A17="","",B17*Settings!$B$5+C17*Settings!$B$6)</f>
        <v/>
      </c>
      <c r="E17" s="29" t="str">
        <f aca="false">IF($A17="","",IF(Results!$P$5="","",ABS('Group Picks'!$O15-Results!$P$5)))</f>
        <v/>
      </c>
      <c r="F17" s="29" t="str">
        <f aca="false">IF($A17="","",D17-IF(ISNUMBER(E17),E17,0)/1000)</f>
        <v/>
      </c>
      <c r="G17" s="14" t="str">
        <f aca="false">IF($A17="","",RANK(F17,$F$4:$F$43,0))</f>
        <v/>
      </c>
    </row>
    <row r="18" customFormat="false" ht="15" hidden="false" customHeight="false" outlineLevel="0" collapsed="false">
      <c r="A18" s="15" t="str">
        <f aca="false">IF('Group Picks'!A16="","",'Group Picks'!A16)</f>
        <v/>
      </c>
      <c r="B18" s="29" t="str">
        <f aca="false">IF($A18="","",SUMPRODUCT(('Group Picks'!$B16:$M16=Results!$B$5:$M$5)*(Results!$B$5:$M$5&lt;&gt;"")))</f>
        <v/>
      </c>
      <c r="C18" s="29" t="str">
        <f aca="false">IF($A18="","",IF(Results!$N$5="",0,IF('Group Picks'!$N16=Results!$N$5,1,0)))</f>
        <v/>
      </c>
      <c r="D18" s="29" t="str">
        <f aca="false">IF($A18="","",B18*Settings!$B$5+C18*Settings!$B$6)</f>
        <v/>
      </c>
      <c r="E18" s="29" t="str">
        <f aca="false">IF($A18="","",IF(Results!$P$5="","",ABS('Group Picks'!$O16-Results!$P$5)))</f>
        <v/>
      </c>
      <c r="F18" s="29" t="str">
        <f aca="false">IF($A18="","",D18-IF(ISNUMBER(E18),E18,0)/1000)</f>
        <v/>
      </c>
      <c r="G18" s="14" t="str">
        <f aca="false">IF($A18="","",RANK(F18,$F$4:$F$43,0))</f>
        <v/>
      </c>
    </row>
    <row r="19" customFormat="false" ht="15" hidden="false" customHeight="false" outlineLevel="0" collapsed="false">
      <c r="A19" s="15" t="str">
        <f aca="false">IF('Group Picks'!A17="","",'Group Picks'!A17)</f>
        <v/>
      </c>
      <c r="B19" s="29" t="str">
        <f aca="false">IF($A19="","",SUMPRODUCT(('Group Picks'!$B17:$M17=Results!$B$5:$M$5)*(Results!$B$5:$M$5&lt;&gt;"")))</f>
        <v/>
      </c>
      <c r="C19" s="29" t="str">
        <f aca="false">IF($A19="","",IF(Results!$N$5="",0,IF('Group Picks'!$N17=Results!$N$5,1,0)))</f>
        <v/>
      </c>
      <c r="D19" s="29" t="str">
        <f aca="false">IF($A19="","",B19*Settings!$B$5+C19*Settings!$B$6)</f>
        <v/>
      </c>
      <c r="E19" s="29" t="str">
        <f aca="false">IF($A19="","",IF(Results!$P$5="","",ABS('Group Picks'!$O17-Results!$P$5)))</f>
        <v/>
      </c>
      <c r="F19" s="29" t="str">
        <f aca="false">IF($A19="","",D19-IF(ISNUMBER(E19),E19,0)/1000)</f>
        <v/>
      </c>
      <c r="G19" s="14" t="str">
        <f aca="false">IF($A19="","",RANK(F19,$F$4:$F$43,0))</f>
        <v/>
      </c>
    </row>
    <row r="20" customFormat="false" ht="15" hidden="false" customHeight="false" outlineLevel="0" collapsed="false">
      <c r="A20" s="15" t="str">
        <f aca="false">IF('Group Picks'!A18="","",'Group Picks'!A18)</f>
        <v/>
      </c>
      <c r="B20" s="29" t="str">
        <f aca="false">IF($A20="","",SUMPRODUCT(('Group Picks'!$B18:$M18=Results!$B$5:$M$5)*(Results!$B$5:$M$5&lt;&gt;"")))</f>
        <v/>
      </c>
      <c r="C20" s="29" t="str">
        <f aca="false">IF($A20="","",IF(Results!$N$5="",0,IF('Group Picks'!$N18=Results!$N$5,1,0)))</f>
        <v/>
      </c>
      <c r="D20" s="29" t="str">
        <f aca="false">IF($A20="","",B20*Settings!$B$5+C20*Settings!$B$6)</f>
        <v/>
      </c>
      <c r="E20" s="29" t="str">
        <f aca="false">IF($A20="","",IF(Results!$P$5="","",ABS('Group Picks'!$O18-Results!$P$5)))</f>
        <v/>
      </c>
      <c r="F20" s="29" t="str">
        <f aca="false">IF($A20="","",D20-IF(ISNUMBER(E20),E20,0)/1000)</f>
        <v/>
      </c>
      <c r="G20" s="14" t="str">
        <f aca="false">IF($A20="","",RANK(F20,$F$4:$F$43,0))</f>
        <v/>
      </c>
    </row>
    <row r="21" customFormat="false" ht="15" hidden="false" customHeight="false" outlineLevel="0" collapsed="false">
      <c r="A21" s="15" t="str">
        <f aca="false">IF('Group Picks'!A19="","",'Group Picks'!A19)</f>
        <v/>
      </c>
      <c r="B21" s="29" t="str">
        <f aca="false">IF($A21="","",SUMPRODUCT(('Group Picks'!$B19:$M19=Results!$B$5:$M$5)*(Results!$B$5:$M$5&lt;&gt;"")))</f>
        <v/>
      </c>
      <c r="C21" s="29" t="str">
        <f aca="false">IF($A21="","",IF(Results!$N$5="",0,IF('Group Picks'!$N19=Results!$N$5,1,0)))</f>
        <v/>
      </c>
      <c r="D21" s="29" t="str">
        <f aca="false">IF($A21="","",B21*Settings!$B$5+C21*Settings!$B$6)</f>
        <v/>
      </c>
      <c r="E21" s="29" t="str">
        <f aca="false">IF($A21="","",IF(Results!$P$5="","",ABS('Group Picks'!$O19-Results!$P$5)))</f>
        <v/>
      </c>
      <c r="F21" s="29" t="str">
        <f aca="false">IF($A21="","",D21-IF(ISNUMBER(E21),E21,0)/1000)</f>
        <v/>
      </c>
      <c r="G21" s="14" t="str">
        <f aca="false">IF($A21="","",RANK(F21,$F$4:$F$43,0))</f>
        <v/>
      </c>
    </row>
    <row r="22" customFormat="false" ht="15" hidden="false" customHeight="false" outlineLevel="0" collapsed="false">
      <c r="A22" s="15" t="str">
        <f aca="false">IF('Group Picks'!A20="","",'Group Picks'!A20)</f>
        <v/>
      </c>
      <c r="B22" s="29" t="str">
        <f aca="false">IF($A22="","",SUMPRODUCT(('Group Picks'!$B20:$M20=Results!$B$5:$M$5)*(Results!$B$5:$M$5&lt;&gt;"")))</f>
        <v/>
      </c>
      <c r="C22" s="29" t="str">
        <f aca="false">IF($A22="","",IF(Results!$N$5="",0,IF('Group Picks'!$N20=Results!$N$5,1,0)))</f>
        <v/>
      </c>
      <c r="D22" s="29" t="str">
        <f aca="false">IF($A22="","",B22*Settings!$B$5+C22*Settings!$B$6)</f>
        <v/>
      </c>
      <c r="E22" s="29" t="str">
        <f aca="false">IF($A22="","",IF(Results!$P$5="","",ABS('Group Picks'!$O20-Results!$P$5)))</f>
        <v/>
      </c>
      <c r="F22" s="29" t="str">
        <f aca="false">IF($A22="","",D22-IF(ISNUMBER(E22),E22,0)/1000)</f>
        <v/>
      </c>
      <c r="G22" s="14" t="str">
        <f aca="false">IF($A22="","",RANK(F22,$F$4:$F$43,0))</f>
        <v/>
      </c>
    </row>
    <row r="23" customFormat="false" ht="15" hidden="false" customHeight="false" outlineLevel="0" collapsed="false">
      <c r="A23" s="15" t="str">
        <f aca="false">IF('Group Picks'!A21="","",'Group Picks'!A21)</f>
        <v/>
      </c>
      <c r="B23" s="29" t="str">
        <f aca="false">IF($A23="","",SUMPRODUCT(('Group Picks'!$B21:$M21=Results!$B$5:$M$5)*(Results!$B$5:$M$5&lt;&gt;"")))</f>
        <v/>
      </c>
      <c r="C23" s="29" t="str">
        <f aca="false">IF($A23="","",IF(Results!$N$5="",0,IF('Group Picks'!$N21=Results!$N$5,1,0)))</f>
        <v/>
      </c>
      <c r="D23" s="29" t="str">
        <f aca="false">IF($A23="","",B23*Settings!$B$5+C23*Settings!$B$6)</f>
        <v/>
      </c>
      <c r="E23" s="29" t="str">
        <f aca="false">IF($A23="","",IF(Results!$P$5="","",ABS('Group Picks'!$O21-Results!$P$5)))</f>
        <v/>
      </c>
      <c r="F23" s="29" t="str">
        <f aca="false">IF($A23="","",D23-IF(ISNUMBER(E23),E23,0)/1000)</f>
        <v/>
      </c>
      <c r="G23" s="14" t="str">
        <f aca="false">IF($A23="","",RANK(F23,$F$4:$F$43,0))</f>
        <v/>
      </c>
    </row>
    <row r="24" customFormat="false" ht="15" hidden="false" customHeight="false" outlineLevel="0" collapsed="false">
      <c r="A24" s="15" t="str">
        <f aca="false">IF('Group Picks'!A22="","",'Group Picks'!A22)</f>
        <v/>
      </c>
      <c r="B24" s="29" t="str">
        <f aca="false">IF($A24="","",SUMPRODUCT(('Group Picks'!$B22:$M22=Results!$B$5:$M$5)*(Results!$B$5:$M$5&lt;&gt;"")))</f>
        <v/>
      </c>
      <c r="C24" s="29" t="str">
        <f aca="false">IF($A24="","",IF(Results!$N$5="",0,IF('Group Picks'!$N22=Results!$N$5,1,0)))</f>
        <v/>
      </c>
      <c r="D24" s="29" t="str">
        <f aca="false">IF($A24="","",B24*Settings!$B$5+C24*Settings!$B$6)</f>
        <v/>
      </c>
      <c r="E24" s="29" t="str">
        <f aca="false">IF($A24="","",IF(Results!$P$5="","",ABS('Group Picks'!$O22-Results!$P$5)))</f>
        <v/>
      </c>
      <c r="F24" s="29" t="str">
        <f aca="false">IF($A24="","",D24-IF(ISNUMBER(E24),E24,0)/1000)</f>
        <v/>
      </c>
      <c r="G24" s="14" t="str">
        <f aca="false">IF($A24="","",RANK(F24,$F$4:$F$43,0))</f>
        <v/>
      </c>
    </row>
    <row r="25" customFormat="false" ht="15" hidden="false" customHeight="false" outlineLevel="0" collapsed="false">
      <c r="A25" s="15" t="str">
        <f aca="false">IF('Group Picks'!A23="","",'Group Picks'!A23)</f>
        <v/>
      </c>
      <c r="B25" s="29" t="str">
        <f aca="false">IF($A25="","",SUMPRODUCT(('Group Picks'!$B23:$M23=Results!$B$5:$M$5)*(Results!$B$5:$M$5&lt;&gt;"")))</f>
        <v/>
      </c>
      <c r="C25" s="29" t="str">
        <f aca="false">IF($A25="","",IF(Results!$N$5="",0,IF('Group Picks'!$N23=Results!$N$5,1,0)))</f>
        <v/>
      </c>
      <c r="D25" s="29" t="str">
        <f aca="false">IF($A25="","",B25*Settings!$B$5+C25*Settings!$B$6)</f>
        <v/>
      </c>
      <c r="E25" s="29" t="str">
        <f aca="false">IF($A25="","",IF(Results!$P$5="","",ABS('Group Picks'!$O23-Results!$P$5)))</f>
        <v/>
      </c>
      <c r="F25" s="29" t="str">
        <f aca="false">IF($A25="","",D25-IF(ISNUMBER(E25),E25,0)/1000)</f>
        <v/>
      </c>
      <c r="G25" s="14" t="str">
        <f aca="false">IF($A25="","",RANK(F25,$F$4:$F$43,0))</f>
        <v/>
      </c>
    </row>
    <row r="26" customFormat="false" ht="15" hidden="false" customHeight="false" outlineLevel="0" collapsed="false">
      <c r="A26" s="15" t="str">
        <f aca="false">IF('Group Picks'!A24="","",'Group Picks'!A24)</f>
        <v/>
      </c>
      <c r="B26" s="29" t="str">
        <f aca="false">IF($A26="","",SUMPRODUCT(('Group Picks'!$B24:$M24=Results!$B$5:$M$5)*(Results!$B$5:$M$5&lt;&gt;"")))</f>
        <v/>
      </c>
      <c r="C26" s="29" t="str">
        <f aca="false">IF($A26="","",IF(Results!$N$5="",0,IF('Group Picks'!$N24=Results!$N$5,1,0)))</f>
        <v/>
      </c>
      <c r="D26" s="29" t="str">
        <f aca="false">IF($A26="","",B26*Settings!$B$5+C26*Settings!$B$6)</f>
        <v/>
      </c>
      <c r="E26" s="29" t="str">
        <f aca="false">IF($A26="","",IF(Results!$P$5="","",ABS('Group Picks'!$O24-Results!$P$5)))</f>
        <v/>
      </c>
      <c r="F26" s="29" t="str">
        <f aca="false">IF($A26="","",D26-IF(ISNUMBER(E26),E26,0)/1000)</f>
        <v/>
      </c>
      <c r="G26" s="14" t="str">
        <f aca="false">IF($A26="","",RANK(F26,$F$4:$F$43,0))</f>
        <v/>
      </c>
    </row>
    <row r="27" customFormat="false" ht="15" hidden="false" customHeight="false" outlineLevel="0" collapsed="false">
      <c r="A27" s="15" t="str">
        <f aca="false">IF('Group Picks'!A25="","",'Group Picks'!A25)</f>
        <v/>
      </c>
      <c r="B27" s="29" t="str">
        <f aca="false">IF($A27="","",SUMPRODUCT(('Group Picks'!$B25:$M25=Results!$B$5:$M$5)*(Results!$B$5:$M$5&lt;&gt;"")))</f>
        <v/>
      </c>
      <c r="C27" s="29" t="str">
        <f aca="false">IF($A27="","",IF(Results!$N$5="",0,IF('Group Picks'!$N25=Results!$N$5,1,0)))</f>
        <v/>
      </c>
      <c r="D27" s="29" t="str">
        <f aca="false">IF($A27="","",B27*Settings!$B$5+C27*Settings!$B$6)</f>
        <v/>
      </c>
      <c r="E27" s="29" t="str">
        <f aca="false">IF($A27="","",IF(Results!$P$5="","",ABS('Group Picks'!$O25-Results!$P$5)))</f>
        <v/>
      </c>
      <c r="F27" s="29" t="str">
        <f aca="false">IF($A27="","",D27-IF(ISNUMBER(E27),E27,0)/1000)</f>
        <v/>
      </c>
      <c r="G27" s="14" t="str">
        <f aca="false">IF($A27="","",RANK(F27,$F$4:$F$43,0))</f>
        <v/>
      </c>
    </row>
    <row r="28" customFormat="false" ht="15" hidden="false" customHeight="false" outlineLevel="0" collapsed="false">
      <c r="A28" s="15" t="str">
        <f aca="false">IF('Group Picks'!A26="","",'Group Picks'!A26)</f>
        <v/>
      </c>
      <c r="B28" s="29" t="str">
        <f aca="false">IF($A28="","",SUMPRODUCT(('Group Picks'!$B26:$M26=Results!$B$5:$M$5)*(Results!$B$5:$M$5&lt;&gt;"")))</f>
        <v/>
      </c>
      <c r="C28" s="29" t="str">
        <f aca="false">IF($A28="","",IF(Results!$N$5="",0,IF('Group Picks'!$N26=Results!$N$5,1,0)))</f>
        <v/>
      </c>
      <c r="D28" s="29" t="str">
        <f aca="false">IF($A28="","",B28*Settings!$B$5+C28*Settings!$B$6)</f>
        <v/>
      </c>
      <c r="E28" s="29" t="str">
        <f aca="false">IF($A28="","",IF(Results!$P$5="","",ABS('Group Picks'!$O26-Results!$P$5)))</f>
        <v/>
      </c>
      <c r="F28" s="29" t="str">
        <f aca="false">IF($A28="","",D28-IF(ISNUMBER(E28),E28,0)/1000)</f>
        <v/>
      </c>
      <c r="G28" s="14" t="str">
        <f aca="false">IF($A28="","",RANK(F28,$F$4:$F$43,0))</f>
        <v/>
      </c>
    </row>
    <row r="29" customFormat="false" ht="15" hidden="false" customHeight="false" outlineLevel="0" collapsed="false">
      <c r="A29" s="15" t="str">
        <f aca="false">IF('Group Picks'!A27="","",'Group Picks'!A27)</f>
        <v/>
      </c>
      <c r="B29" s="29" t="str">
        <f aca="false">IF($A29="","",SUMPRODUCT(('Group Picks'!$B27:$M27=Results!$B$5:$M$5)*(Results!$B$5:$M$5&lt;&gt;"")))</f>
        <v/>
      </c>
      <c r="C29" s="29" t="str">
        <f aca="false">IF($A29="","",IF(Results!$N$5="",0,IF('Group Picks'!$N27=Results!$N$5,1,0)))</f>
        <v/>
      </c>
      <c r="D29" s="29" t="str">
        <f aca="false">IF($A29="","",B29*Settings!$B$5+C29*Settings!$B$6)</f>
        <v/>
      </c>
      <c r="E29" s="29" t="str">
        <f aca="false">IF($A29="","",IF(Results!$P$5="","",ABS('Group Picks'!$O27-Results!$P$5)))</f>
        <v/>
      </c>
      <c r="F29" s="29" t="str">
        <f aca="false">IF($A29="","",D29-IF(ISNUMBER(E29),E29,0)/1000)</f>
        <v/>
      </c>
      <c r="G29" s="14" t="str">
        <f aca="false">IF($A29="","",RANK(F29,$F$4:$F$43,0))</f>
        <v/>
      </c>
    </row>
    <row r="30" customFormat="false" ht="15" hidden="false" customHeight="false" outlineLevel="0" collapsed="false">
      <c r="A30" s="15" t="str">
        <f aca="false">IF('Group Picks'!A28="","",'Group Picks'!A28)</f>
        <v/>
      </c>
      <c r="B30" s="29" t="str">
        <f aca="false">IF($A30="","",SUMPRODUCT(('Group Picks'!$B28:$M28=Results!$B$5:$M$5)*(Results!$B$5:$M$5&lt;&gt;"")))</f>
        <v/>
      </c>
      <c r="C30" s="29" t="str">
        <f aca="false">IF($A30="","",IF(Results!$N$5="",0,IF('Group Picks'!$N28=Results!$N$5,1,0)))</f>
        <v/>
      </c>
      <c r="D30" s="29" t="str">
        <f aca="false">IF($A30="","",B30*Settings!$B$5+C30*Settings!$B$6)</f>
        <v/>
      </c>
      <c r="E30" s="29" t="str">
        <f aca="false">IF($A30="","",IF(Results!$P$5="","",ABS('Group Picks'!$O28-Results!$P$5)))</f>
        <v/>
      </c>
      <c r="F30" s="29" t="str">
        <f aca="false">IF($A30="","",D30-IF(ISNUMBER(E30),E30,0)/1000)</f>
        <v/>
      </c>
      <c r="G30" s="14" t="str">
        <f aca="false">IF($A30="","",RANK(F30,$F$4:$F$43,0))</f>
        <v/>
      </c>
    </row>
    <row r="31" customFormat="false" ht="15" hidden="false" customHeight="false" outlineLevel="0" collapsed="false">
      <c r="A31" s="15" t="str">
        <f aca="false">IF('Group Picks'!A29="","",'Group Picks'!A29)</f>
        <v/>
      </c>
      <c r="B31" s="29" t="str">
        <f aca="false">IF($A31="","",SUMPRODUCT(('Group Picks'!$B29:$M29=Results!$B$5:$M$5)*(Results!$B$5:$M$5&lt;&gt;"")))</f>
        <v/>
      </c>
      <c r="C31" s="29" t="str">
        <f aca="false">IF($A31="","",IF(Results!$N$5="",0,IF('Group Picks'!$N29=Results!$N$5,1,0)))</f>
        <v/>
      </c>
      <c r="D31" s="29" t="str">
        <f aca="false">IF($A31="","",B31*Settings!$B$5+C31*Settings!$B$6)</f>
        <v/>
      </c>
      <c r="E31" s="29" t="str">
        <f aca="false">IF($A31="","",IF(Results!$P$5="","",ABS('Group Picks'!$O29-Results!$P$5)))</f>
        <v/>
      </c>
      <c r="F31" s="29" t="str">
        <f aca="false">IF($A31="","",D31-IF(ISNUMBER(E31),E31,0)/1000)</f>
        <v/>
      </c>
      <c r="G31" s="14" t="str">
        <f aca="false">IF($A31="","",RANK(F31,$F$4:$F$43,0))</f>
        <v/>
      </c>
    </row>
    <row r="32" customFormat="false" ht="15" hidden="false" customHeight="false" outlineLevel="0" collapsed="false">
      <c r="A32" s="15" t="str">
        <f aca="false">IF('Group Picks'!A30="","",'Group Picks'!A30)</f>
        <v/>
      </c>
      <c r="B32" s="29" t="str">
        <f aca="false">IF($A32="","",SUMPRODUCT(('Group Picks'!$B30:$M30=Results!$B$5:$M$5)*(Results!$B$5:$M$5&lt;&gt;"")))</f>
        <v/>
      </c>
      <c r="C32" s="29" t="str">
        <f aca="false">IF($A32="","",IF(Results!$N$5="",0,IF('Group Picks'!$N30=Results!$N$5,1,0)))</f>
        <v/>
      </c>
      <c r="D32" s="29" t="str">
        <f aca="false">IF($A32="","",B32*Settings!$B$5+C32*Settings!$B$6)</f>
        <v/>
      </c>
      <c r="E32" s="29" t="str">
        <f aca="false">IF($A32="","",IF(Results!$P$5="","",ABS('Group Picks'!$O30-Results!$P$5)))</f>
        <v/>
      </c>
      <c r="F32" s="29" t="str">
        <f aca="false">IF($A32="","",D32-IF(ISNUMBER(E32),E32,0)/1000)</f>
        <v/>
      </c>
      <c r="G32" s="14" t="str">
        <f aca="false">IF($A32="","",RANK(F32,$F$4:$F$43,0))</f>
        <v/>
      </c>
    </row>
    <row r="33" customFormat="false" ht="15" hidden="false" customHeight="false" outlineLevel="0" collapsed="false">
      <c r="A33" s="15" t="str">
        <f aca="false">IF('Group Picks'!A31="","",'Group Picks'!A31)</f>
        <v/>
      </c>
      <c r="B33" s="29" t="str">
        <f aca="false">IF($A33="","",SUMPRODUCT(('Group Picks'!$B31:$M31=Results!$B$5:$M$5)*(Results!$B$5:$M$5&lt;&gt;"")))</f>
        <v/>
      </c>
      <c r="C33" s="29" t="str">
        <f aca="false">IF($A33="","",IF(Results!$N$5="",0,IF('Group Picks'!$N31=Results!$N$5,1,0)))</f>
        <v/>
      </c>
      <c r="D33" s="29" t="str">
        <f aca="false">IF($A33="","",B33*Settings!$B$5+C33*Settings!$B$6)</f>
        <v/>
      </c>
      <c r="E33" s="29" t="str">
        <f aca="false">IF($A33="","",IF(Results!$P$5="","",ABS('Group Picks'!$O31-Results!$P$5)))</f>
        <v/>
      </c>
      <c r="F33" s="29" t="str">
        <f aca="false">IF($A33="","",D33-IF(ISNUMBER(E33),E33,0)/1000)</f>
        <v/>
      </c>
      <c r="G33" s="14" t="str">
        <f aca="false">IF($A33="","",RANK(F33,$F$4:$F$43,0))</f>
        <v/>
      </c>
    </row>
    <row r="34" customFormat="false" ht="15" hidden="false" customHeight="false" outlineLevel="0" collapsed="false">
      <c r="A34" s="15" t="str">
        <f aca="false">IF('Group Picks'!A32="","",'Group Picks'!A32)</f>
        <v/>
      </c>
      <c r="B34" s="29" t="str">
        <f aca="false">IF($A34="","",SUMPRODUCT(('Group Picks'!$B32:$M32=Results!$B$5:$M$5)*(Results!$B$5:$M$5&lt;&gt;"")))</f>
        <v/>
      </c>
      <c r="C34" s="29" t="str">
        <f aca="false">IF($A34="","",IF(Results!$N$5="",0,IF('Group Picks'!$N32=Results!$N$5,1,0)))</f>
        <v/>
      </c>
      <c r="D34" s="29" t="str">
        <f aca="false">IF($A34="","",B34*Settings!$B$5+C34*Settings!$B$6)</f>
        <v/>
      </c>
      <c r="E34" s="29" t="str">
        <f aca="false">IF($A34="","",IF(Results!$P$5="","",ABS('Group Picks'!$O32-Results!$P$5)))</f>
        <v/>
      </c>
      <c r="F34" s="29" t="str">
        <f aca="false">IF($A34="","",D34-IF(ISNUMBER(E34),E34,0)/1000)</f>
        <v/>
      </c>
      <c r="G34" s="14" t="str">
        <f aca="false">IF($A34="","",RANK(F34,$F$4:$F$43,0))</f>
        <v/>
      </c>
    </row>
    <row r="35" customFormat="false" ht="15" hidden="false" customHeight="false" outlineLevel="0" collapsed="false">
      <c r="A35" s="15" t="str">
        <f aca="false">IF('Group Picks'!A33="","",'Group Picks'!A33)</f>
        <v/>
      </c>
      <c r="B35" s="29" t="str">
        <f aca="false">IF($A35="","",SUMPRODUCT(('Group Picks'!$B33:$M33=Results!$B$5:$M$5)*(Results!$B$5:$M$5&lt;&gt;"")))</f>
        <v/>
      </c>
      <c r="C35" s="29" t="str">
        <f aca="false">IF($A35="","",IF(Results!$N$5="",0,IF('Group Picks'!$N33=Results!$N$5,1,0)))</f>
        <v/>
      </c>
      <c r="D35" s="29" t="str">
        <f aca="false">IF($A35="","",B35*Settings!$B$5+C35*Settings!$B$6)</f>
        <v/>
      </c>
      <c r="E35" s="29" t="str">
        <f aca="false">IF($A35="","",IF(Results!$P$5="","",ABS('Group Picks'!$O33-Results!$P$5)))</f>
        <v/>
      </c>
      <c r="F35" s="29" t="str">
        <f aca="false">IF($A35="","",D35-IF(ISNUMBER(E35),E35,0)/1000)</f>
        <v/>
      </c>
      <c r="G35" s="14" t="str">
        <f aca="false">IF($A35="","",RANK(F35,$F$4:$F$43,0))</f>
        <v/>
      </c>
    </row>
    <row r="36" customFormat="false" ht="15" hidden="false" customHeight="false" outlineLevel="0" collapsed="false">
      <c r="A36" s="15" t="str">
        <f aca="false">IF('Group Picks'!A34="","",'Group Picks'!A34)</f>
        <v/>
      </c>
      <c r="B36" s="29" t="str">
        <f aca="false">IF($A36="","",SUMPRODUCT(('Group Picks'!$B34:$M34=Results!$B$5:$M$5)*(Results!$B$5:$M$5&lt;&gt;"")))</f>
        <v/>
      </c>
      <c r="C36" s="29" t="str">
        <f aca="false">IF($A36="","",IF(Results!$N$5="",0,IF('Group Picks'!$N34=Results!$N$5,1,0)))</f>
        <v/>
      </c>
      <c r="D36" s="29" t="str">
        <f aca="false">IF($A36="","",B36*Settings!$B$5+C36*Settings!$B$6)</f>
        <v/>
      </c>
      <c r="E36" s="29" t="str">
        <f aca="false">IF($A36="","",IF(Results!$P$5="","",ABS('Group Picks'!$O34-Results!$P$5)))</f>
        <v/>
      </c>
      <c r="F36" s="29" t="str">
        <f aca="false">IF($A36="","",D36-IF(ISNUMBER(E36),E36,0)/1000)</f>
        <v/>
      </c>
      <c r="G36" s="14" t="str">
        <f aca="false">IF($A36="","",RANK(F36,$F$4:$F$43,0))</f>
        <v/>
      </c>
    </row>
    <row r="37" customFormat="false" ht="15" hidden="false" customHeight="false" outlineLevel="0" collapsed="false">
      <c r="A37" s="15" t="str">
        <f aca="false">IF('Group Picks'!A35="","",'Group Picks'!A35)</f>
        <v/>
      </c>
      <c r="B37" s="29" t="str">
        <f aca="false">IF($A37="","",SUMPRODUCT(('Group Picks'!$B35:$M35=Results!$B$5:$M$5)*(Results!$B$5:$M$5&lt;&gt;"")))</f>
        <v/>
      </c>
      <c r="C37" s="29" t="str">
        <f aca="false">IF($A37="","",IF(Results!$N$5="",0,IF('Group Picks'!$N35=Results!$N$5,1,0)))</f>
        <v/>
      </c>
      <c r="D37" s="29" t="str">
        <f aca="false">IF($A37="","",B37*Settings!$B$5+C37*Settings!$B$6)</f>
        <v/>
      </c>
      <c r="E37" s="29" t="str">
        <f aca="false">IF($A37="","",IF(Results!$P$5="","",ABS('Group Picks'!$O35-Results!$P$5)))</f>
        <v/>
      </c>
      <c r="F37" s="29" t="str">
        <f aca="false">IF($A37="","",D37-IF(ISNUMBER(E37),E37,0)/1000)</f>
        <v/>
      </c>
      <c r="G37" s="14" t="str">
        <f aca="false">IF($A37="","",RANK(F37,$F$4:$F$43,0))</f>
        <v/>
      </c>
    </row>
    <row r="38" customFormat="false" ht="15" hidden="false" customHeight="false" outlineLevel="0" collapsed="false">
      <c r="A38" s="15" t="str">
        <f aca="false">IF('Group Picks'!A36="","",'Group Picks'!A36)</f>
        <v/>
      </c>
      <c r="B38" s="29" t="str">
        <f aca="false">IF($A38="","",SUMPRODUCT(('Group Picks'!$B36:$M36=Results!$B$5:$M$5)*(Results!$B$5:$M$5&lt;&gt;"")))</f>
        <v/>
      </c>
      <c r="C38" s="29" t="str">
        <f aca="false">IF($A38="","",IF(Results!$N$5="",0,IF('Group Picks'!$N36=Results!$N$5,1,0)))</f>
        <v/>
      </c>
      <c r="D38" s="29" t="str">
        <f aca="false">IF($A38="","",B38*Settings!$B$5+C38*Settings!$B$6)</f>
        <v/>
      </c>
      <c r="E38" s="29" t="str">
        <f aca="false">IF($A38="","",IF(Results!$P$5="","",ABS('Group Picks'!$O36-Results!$P$5)))</f>
        <v/>
      </c>
      <c r="F38" s="29" t="str">
        <f aca="false">IF($A38="","",D38-IF(ISNUMBER(E38),E38,0)/1000)</f>
        <v/>
      </c>
      <c r="G38" s="14" t="str">
        <f aca="false">IF($A38="","",RANK(F38,$F$4:$F$43,0))</f>
        <v/>
      </c>
    </row>
    <row r="39" customFormat="false" ht="15" hidden="false" customHeight="false" outlineLevel="0" collapsed="false">
      <c r="A39" s="15" t="str">
        <f aca="false">IF('Group Picks'!A37="","",'Group Picks'!A37)</f>
        <v/>
      </c>
      <c r="B39" s="29" t="str">
        <f aca="false">IF($A39="","",SUMPRODUCT(('Group Picks'!$B37:$M37=Results!$B$5:$M$5)*(Results!$B$5:$M$5&lt;&gt;"")))</f>
        <v/>
      </c>
      <c r="C39" s="29" t="str">
        <f aca="false">IF($A39="","",IF(Results!$N$5="",0,IF('Group Picks'!$N37=Results!$N$5,1,0)))</f>
        <v/>
      </c>
      <c r="D39" s="29" t="str">
        <f aca="false">IF($A39="","",B39*Settings!$B$5+C39*Settings!$B$6)</f>
        <v/>
      </c>
      <c r="E39" s="29" t="str">
        <f aca="false">IF($A39="","",IF(Results!$P$5="","",ABS('Group Picks'!$O37-Results!$P$5)))</f>
        <v/>
      </c>
      <c r="F39" s="29" t="str">
        <f aca="false">IF($A39="","",D39-IF(ISNUMBER(E39),E39,0)/1000)</f>
        <v/>
      </c>
      <c r="G39" s="14" t="str">
        <f aca="false">IF($A39="","",RANK(F39,$F$4:$F$43,0))</f>
        <v/>
      </c>
    </row>
    <row r="40" customFormat="false" ht="15" hidden="false" customHeight="false" outlineLevel="0" collapsed="false">
      <c r="A40" s="15" t="str">
        <f aca="false">IF('Group Picks'!A38="","",'Group Picks'!A38)</f>
        <v/>
      </c>
      <c r="B40" s="29" t="str">
        <f aca="false">IF($A40="","",SUMPRODUCT(('Group Picks'!$B38:$M38=Results!$B$5:$M$5)*(Results!$B$5:$M$5&lt;&gt;"")))</f>
        <v/>
      </c>
      <c r="C40" s="29" t="str">
        <f aca="false">IF($A40="","",IF(Results!$N$5="",0,IF('Group Picks'!$N38=Results!$N$5,1,0)))</f>
        <v/>
      </c>
      <c r="D40" s="29" t="str">
        <f aca="false">IF($A40="","",B40*Settings!$B$5+C40*Settings!$B$6)</f>
        <v/>
      </c>
      <c r="E40" s="29" t="str">
        <f aca="false">IF($A40="","",IF(Results!$P$5="","",ABS('Group Picks'!$O38-Results!$P$5)))</f>
        <v/>
      </c>
      <c r="F40" s="29" t="str">
        <f aca="false">IF($A40="","",D40-IF(ISNUMBER(E40),E40,0)/1000)</f>
        <v/>
      </c>
      <c r="G40" s="14" t="str">
        <f aca="false">IF($A40="","",RANK(F40,$F$4:$F$43,0))</f>
        <v/>
      </c>
    </row>
    <row r="41" customFormat="false" ht="15" hidden="false" customHeight="false" outlineLevel="0" collapsed="false">
      <c r="A41" s="15" t="str">
        <f aca="false">IF('Group Picks'!A39="","",'Group Picks'!A39)</f>
        <v/>
      </c>
      <c r="B41" s="29" t="str">
        <f aca="false">IF($A41="","",SUMPRODUCT(('Group Picks'!$B39:$M39=Results!$B$5:$M$5)*(Results!$B$5:$M$5&lt;&gt;"")))</f>
        <v/>
      </c>
      <c r="C41" s="29" t="str">
        <f aca="false">IF($A41="","",IF(Results!$N$5="",0,IF('Group Picks'!$N39=Results!$N$5,1,0)))</f>
        <v/>
      </c>
      <c r="D41" s="29" t="str">
        <f aca="false">IF($A41="","",B41*Settings!$B$5+C41*Settings!$B$6)</f>
        <v/>
      </c>
      <c r="E41" s="29" t="str">
        <f aca="false">IF($A41="","",IF(Results!$P$5="","",ABS('Group Picks'!$O39-Results!$P$5)))</f>
        <v/>
      </c>
      <c r="F41" s="29" t="str">
        <f aca="false">IF($A41="","",D41-IF(ISNUMBER(E41),E41,0)/1000)</f>
        <v/>
      </c>
      <c r="G41" s="14" t="str">
        <f aca="false">IF($A41="","",RANK(F41,$F$4:$F$43,0))</f>
        <v/>
      </c>
    </row>
    <row r="42" customFormat="false" ht="15" hidden="false" customHeight="false" outlineLevel="0" collapsed="false">
      <c r="A42" s="15" t="str">
        <f aca="false">IF('Group Picks'!A40="","",'Group Picks'!A40)</f>
        <v/>
      </c>
      <c r="B42" s="29" t="str">
        <f aca="false">IF($A42="","",SUMPRODUCT(('Group Picks'!$B40:$M40=Results!$B$5:$M$5)*(Results!$B$5:$M$5&lt;&gt;"")))</f>
        <v/>
      </c>
      <c r="C42" s="29" t="str">
        <f aca="false">IF($A42="","",IF(Results!$N$5="",0,IF('Group Picks'!$N40=Results!$N$5,1,0)))</f>
        <v/>
      </c>
      <c r="D42" s="29" t="str">
        <f aca="false">IF($A42="","",B42*Settings!$B$5+C42*Settings!$B$6)</f>
        <v/>
      </c>
      <c r="E42" s="29" t="str">
        <f aca="false">IF($A42="","",IF(Results!$P$5="","",ABS('Group Picks'!$O40-Results!$P$5)))</f>
        <v/>
      </c>
      <c r="F42" s="29" t="str">
        <f aca="false">IF($A42="","",D42-IF(ISNUMBER(E42),E42,0)/1000)</f>
        <v/>
      </c>
      <c r="G42" s="14" t="str">
        <f aca="false">IF($A42="","",RANK(F42,$F$4:$F$43,0))</f>
        <v/>
      </c>
    </row>
    <row r="43" customFormat="false" ht="15" hidden="false" customHeight="false" outlineLevel="0" collapsed="false">
      <c r="A43" s="15" t="str">
        <f aca="false">IF('Group Picks'!A41="","",'Group Picks'!A41)</f>
        <v/>
      </c>
      <c r="B43" s="29" t="str">
        <f aca="false">IF($A43="","",SUMPRODUCT(('Group Picks'!$B41:$M41=Results!$B$5:$M$5)*(Results!$B$5:$M$5&lt;&gt;"")))</f>
        <v/>
      </c>
      <c r="C43" s="29" t="str">
        <f aca="false">IF($A43="","",IF(Results!$N$5="",0,IF('Group Picks'!$N41=Results!$N$5,1,0)))</f>
        <v/>
      </c>
      <c r="D43" s="29" t="str">
        <f aca="false">IF($A43="","",B43*Settings!$B$5+C43*Settings!$B$6)</f>
        <v/>
      </c>
      <c r="E43" s="29" t="str">
        <f aca="false">IF($A43="","",IF(Results!$P$5="","",ABS('Group Picks'!$O41-Results!$P$5)))</f>
        <v/>
      </c>
      <c r="F43" s="29" t="str">
        <f aca="false">IF($A43="","",D43-IF(ISNUMBER(E43),E43,0)/1000)</f>
        <v/>
      </c>
      <c r="G43" s="14" t="str">
        <f aca="false">IF($A43="","",RANK(F43,$F$4:$F$43,0))</f>
        <v/>
      </c>
    </row>
    <row r="45" customFormat="false" ht="15" hidden="false" customHeight="false" outlineLevel="0" collapsed="false">
      <c r="A45" s="9" t="s">
        <v>169</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8" min="2" style="0" width="10"/>
  </cols>
  <sheetData>
    <row r="1" customFormat="false" ht="17.35" hidden="false" customHeight="false" outlineLevel="0" collapsed="false">
      <c r="A1" s="1" t="s">
        <v>170</v>
      </c>
      <c r="B1" s="1"/>
      <c r="C1" s="1"/>
      <c r="D1" s="1"/>
      <c r="E1" s="1"/>
      <c r="F1" s="1"/>
      <c r="G1" s="1"/>
      <c r="H1" s="1"/>
    </row>
    <row r="3" customFormat="false" ht="15" hidden="false" customHeight="false" outlineLevel="0" collapsed="false">
      <c r="A3" s="13" t="s">
        <v>162</v>
      </c>
      <c r="B3" s="13" t="s">
        <v>171</v>
      </c>
      <c r="C3" s="13" t="s">
        <v>172</v>
      </c>
      <c r="D3" s="13" t="s">
        <v>173</v>
      </c>
      <c r="E3" s="13" t="s">
        <v>174</v>
      </c>
      <c r="F3" s="13" t="s">
        <v>175</v>
      </c>
      <c r="G3" s="13" t="s">
        <v>176</v>
      </c>
      <c r="H3" s="13" t="s">
        <v>168</v>
      </c>
    </row>
    <row r="4" customFormat="false" ht="15" hidden="false" customHeight="false" outlineLevel="0" collapsed="false">
      <c r="A4" s="15" t="str">
        <f aca="false">IF('Knockout Picks'!A2="","",'Knockout Picks'!A2)</f>
        <v>Alice (sample)</v>
      </c>
      <c r="B4" s="29" t="n">
        <f aca="false">IF($A4="","",SUMPRODUCT(('Knockout Picks'!$B2:$Q2=Results!$B$9:$Q$9)*(Results!$B$9:$Q$9&lt;&gt;""))*Settings!$B$10)</f>
        <v>16</v>
      </c>
      <c r="C4" s="29" t="n">
        <f aca="false">IF($A4="","",SUMPRODUCT(('Knockout Picks'!$R2:$Y2=Results!$R$9:$Y$9)*(Results!$R$9:$Y$9&lt;&gt;""))*Settings!$B$11)</f>
        <v>16</v>
      </c>
      <c r="D4" s="29" t="n">
        <f aca="false">IF($A4="","",SUMPRODUCT(('Knockout Picks'!$Z2:$AC2=Results!$Z$9:$AC$9)*(Results!$Z$9:$AC$9&lt;&gt;""))*Settings!$B$12)</f>
        <v>16</v>
      </c>
      <c r="E4" s="29" t="n">
        <f aca="false">IF($A4="","",SUMPRODUCT(('Knockout Picks'!$AD2:$AE2=Results!$AD$9:$AE$9)*(Results!$AD$9:$AE$9&lt;&gt;""))*Settings!$B$13)</f>
        <v>16</v>
      </c>
      <c r="F4" s="29" t="n">
        <f aca="false">IF($A4="","",SUMPRODUCT(('Knockout Picks'!$AF2=Results!$AF$9)*(Results!$AF$9&lt;&gt;""))*Settings!$B$14)</f>
        <v>16</v>
      </c>
      <c r="G4" s="29" t="n">
        <f aca="false">IF($A4="","",SUM(B4:F4))</f>
        <v>80</v>
      </c>
      <c r="H4" s="14" t="n">
        <f aca="false">IF($A4="","",RANK(G4,$G$4:$G$43,0))</f>
        <v>1</v>
      </c>
    </row>
    <row r="5" customFormat="false" ht="15" hidden="false" customHeight="false" outlineLevel="0" collapsed="false">
      <c r="A5" s="15" t="str">
        <f aca="false">IF('Knockout Picks'!A3="","",'Knockout Picks'!A3)</f>
        <v>Bob (sample)</v>
      </c>
      <c r="B5" s="29" t="n">
        <f aca="false">IF($A5="","",SUMPRODUCT(('Knockout Picks'!$B3:$Q3=Results!$B$9:$Q$9)*(Results!$B$9:$Q$9&lt;&gt;""))*Settings!$B$10)</f>
        <v>10</v>
      </c>
      <c r="C5" s="29" t="n">
        <f aca="false">IF($A5="","",SUMPRODUCT(('Knockout Picks'!$R3:$Y3=Results!$R$9:$Y$9)*(Results!$R$9:$Y$9&lt;&gt;""))*Settings!$B$11)</f>
        <v>16</v>
      </c>
      <c r="D5" s="29" t="n">
        <f aca="false">IF($A5="","",SUMPRODUCT(('Knockout Picks'!$Z3:$AC3=Results!$Z$9:$AC$9)*(Results!$Z$9:$AC$9&lt;&gt;""))*Settings!$B$12)</f>
        <v>16</v>
      </c>
      <c r="E5" s="29" t="n">
        <f aca="false">IF($A5="","",SUMPRODUCT(('Knockout Picks'!$AD3:$AE3=Results!$AD$9:$AE$9)*(Results!$AD$9:$AE$9&lt;&gt;""))*Settings!$B$13)</f>
        <v>16</v>
      </c>
      <c r="F5" s="29" t="n">
        <f aca="false">IF($A5="","",SUMPRODUCT(('Knockout Picks'!$AF3=Results!$AF$9)*(Results!$AF$9&lt;&gt;""))*Settings!$B$14)</f>
        <v>16</v>
      </c>
      <c r="G5" s="29" t="n">
        <f aca="false">IF($A5="","",SUM(B5:F5))</f>
        <v>74</v>
      </c>
      <c r="H5" s="14" t="n">
        <f aca="false">IF($A5="","",RANK(G5,$G$4:$G$43,0))</f>
        <v>2</v>
      </c>
    </row>
    <row r="6" customFormat="false" ht="15" hidden="false" customHeight="false" outlineLevel="0" collapsed="false">
      <c r="A6" s="15" t="str">
        <f aca="false">IF('Knockout Picks'!A4="","",'Knockout Picks'!A4)</f>
        <v>Cara (sample)</v>
      </c>
      <c r="B6" s="29" t="n">
        <f aca="false">IF($A6="","",SUMPRODUCT(('Knockout Picks'!$B4:$Q4=Results!$B$9:$Q$9)*(Results!$B$9:$Q$9&lt;&gt;""))*Settings!$B$10)</f>
        <v>9</v>
      </c>
      <c r="C6" s="29" t="n">
        <f aca="false">IF($A6="","",SUMPRODUCT(('Knockout Picks'!$R4:$Y4=Results!$R$9:$Y$9)*(Results!$R$9:$Y$9&lt;&gt;""))*Settings!$B$11)</f>
        <v>12</v>
      </c>
      <c r="D6" s="29" t="n">
        <f aca="false">IF($A6="","",SUMPRODUCT(('Knockout Picks'!$Z4:$AC4=Results!$Z$9:$AC$9)*(Results!$Z$9:$AC$9&lt;&gt;""))*Settings!$B$12)</f>
        <v>8</v>
      </c>
      <c r="E6" s="29" t="n">
        <f aca="false">IF($A6="","",SUMPRODUCT(('Knockout Picks'!$AD4:$AE4=Results!$AD$9:$AE$9)*(Results!$AD$9:$AE$9&lt;&gt;""))*Settings!$B$13)</f>
        <v>16</v>
      </c>
      <c r="F6" s="29" t="n">
        <f aca="false">IF($A6="","",SUMPRODUCT(('Knockout Picks'!$AF4=Results!$AF$9)*(Results!$AF$9&lt;&gt;""))*Settings!$B$14)</f>
        <v>0</v>
      </c>
      <c r="G6" s="29" t="n">
        <f aca="false">IF($A6="","",SUM(B6:F6))</f>
        <v>45</v>
      </c>
      <c r="H6" s="14" t="n">
        <f aca="false">IF($A6="","",RANK(G6,$G$4:$G$43,0))</f>
        <v>3</v>
      </c>
    </row>
    <row r="7" customFormat="false" ht="15" hidden="false" customHeight="false" outlineLevel="0" collapsed="false">
      <c r="A7" s="15" t="str">
        <f aca="false">IF('Knockout Picks'!A5="","",'Knockout Picks'!A5)</f>
        <v/>
      </c>
      <c r="B7" s="29" t="str">
        <f aca="false">IF($A7="","",SUMPRODUCT(('Knockout Picks'!$B5:$Q5=Results!$B$9:$Q$9)*(Results!$B$9:$Q$9&lt;&gt;""))*Settings!$B$10)</f>
        <v/>
      </c>
      <c r="C7" s="29" t="str">
        <f aca="false">IF($A7="","",SUMPRODUCT(('Knockout Picks'!$R5:$Y5=Results!$R$9:$Y$9)*(Results!$R$9:$Y$9&lt;&gt;""))*Settings!$B$11)</f>
        <v/>
      </c>
      <c r="D7" s="29" t="str">
        <f aca="false">IF($A7="","",SUMPRODUCT(('Knockout Picks'!$Z5:$AC5=Results!$Z$9:$AC$9)*(Results!$Z$9:$AC$9&lt;&gt;""))*Settings!$B$12)</f>
        <v/>
      </c>
      <c r="E7" s="29" t="str">
        <f aca="false">IF($A7="","",SUMPRODUCT(('Knockout Picks'!$AD5:$AE5=Results!$AD$9:$AE$9)*(Results!$AD$9:$AE$9&lt;&gt;""))*Settings!$B$13)</f>
        <v/>
      </c>
      <c r="F7" s="29" t="str">
        <f aca="false">IF($A7="","",SUMPRODUCT(('Knockout Picks'!$AF5=Results!$AF$9)*(Results!$AF$9&lt;&gt;""))*Settings!$B$14)</f>
        <v/>
      </c>
      <c r="G7" s="29" t="str">
        <f aca="false">IF($A7="","",SUM(B7:F7))</f>
        <v/>
      </c>
      <c r="H7" s="14" t="str">
        <f aca="false">IF($A7="","",RANK(G7,$G$4:$G$43,0))</f>
        <v/>
      </c>
    </row>
    <row r="8" customFormat="false" ht="15" hidden="false" customHeight="false" outlineLevel="0" collapsed="false">
      <c r="A8" s="15" t="str">
        <f aca="false">IF('Knockout Picks'!A6="","",'Knockout Picks'!A6)</f>
        <v/>
      </c>
      <c r="B8" s="29" t="str">
        <f aca="false">IF($A8="","",SUMPRODUCT(('Knockout Picks'!$B6:$Q6=Results!$B$9:$Q$9)*(Results!$B$9:$Q$9&lt;&gt;""))*Settings!$B$10)</f>
        <v/>
      </c>
      <c r="C8" s="29" t="str">
        <f aca="false">IF($A8="","",SUMPRODUCT(('Knockout Picks'!$R6:$Y6=Results!$R$9:$Y$9)*(Results!$R$9:$Y$9&lt;&gt;""))*Settings!$B$11)</f>
        <v/>
      </c>
      <c r="D8" s="29" t="str">
        <f aca="false">IF($A8="","",SUMPRODUCT(('Knockout Picks'!$Z6:$AC6=Results!$Z$9:$AC$9)*(Results!$Z$9:$AC$9&lt;&gt;""))*Settings!$B$12)</f>
        <v/>
      </c>
      <c r="E8" s="29" t="str">
        <f aca="false">IF($A8="","",SUMPRODUCT(('Knockout Picks'!$AD6:$AE6=Results!$AD$9:$AE$9)*(Results!$AD$9:$AE$9&lt;&gt;""))*Settings!$B$13)</f>
        <v/>
      </c>
      <c r="F8" s="29" t="str">
        <f aca="false">IF($A8="","",SUMPRODUCT(('Knockout Picks'!$AF6=Results!$AF$9)*(Results!$AF$9&lt;&gt;""))*Settings!$B$14)</f>
        <v/>
      </c>
      <c r="G8" s="29" t="str">
        <f aca="false">IF($A8="","",SUM(B8:F8))</f>
        <v/>
      </c>
      <c r="H8" s="14" t="str">
        <f aca="false">IF($A8="","",RANK(G8,$G$4:$G$43,0))</f>
        <v/>
      </c>
    </row>
    <row r="9" customFormat="false" ht="15" hidden="false" customHeight="false" outlineLevel="0" collapsed="false">
      <c r="A9" s="15" t="str">
        <f aca="false">IF('Knockout Picks'!A7="","",'Knockout Picks'!A7)</f>
        <v/>
      </c>
      <c r="B9" s="29" t="str">
        <f aca="false">IF($A9="","",SUMPRODUCT(('Knockout Picks'!$B7:$Q7=Results!$B$9:$Q$9)*(Results!$B$9:$Q$9&lt;&gt;""))*Settings!$B$10)</f>
        <v/>
      </c>
      <c r="C9" s="29" t="str">
        <f aca="false">IF($A9="","",SUMPRODUCT(('Knockout Picks'!$R7:$Y7=Results!$R$9:$Y$9)*(Results!$R$9:$Y$9&lt;&gt;""))*Settings!$B$11)</f>
        <v/>
      </c>
      <c r="D9" s="29" t="str">
        <f aca="false">IF($A9="","",SUMPRODUCT(('Knockout Picks'!$Z7:$AC7=Results!$Z$9:$AC$9)*(Results!$Z$9:$AC$9&lt;&gt;""))*Settings!$B$12)</f>
        <v/>
      </c>
      <c r="E9" s="29" t="str">
        <f aca="false">IF($A9="","",SUMPRODUCT(('Knockout Picks'!$AD7:$AE7=Results!$AD$9:$AE$9)*(Results!$AD$9:$AE$9&lt;&gt;""))*Settings!$B$13)</f>
        <v/>
      </c>
      <c r="F9" s="29" t="str">
        <f aca="false">IF($A9="","",SUMPRODUCT(('Knockout Picks'!$AF7=Results!$AF$9)*(Results!$AF$9&lt;&gt;""))*Settings!$B$14)</f>
        <v/>
      </c>
      <c r="G9" s="29" t="str">
        <f aca="false">IF($A9="","",SUM(B9:F9))</f>
        <v/>
      </c>
      <c r="H9" s="14" t="str">
        <f aca="false">IF($A9="","",RANK(G9,$G$4:$G$43,0))</f>
        <v/>
      </c>
    </row>
    <row r="10" customFormat="false" ht="15" hidden="false" customHeight="false" outlineLevel="0" collapsed="false">
      <c r="A10" s="15" t="str">
        <f aca="false">IF('Knockout Picks'!A8="","",'Knockout Picks'!A8)</f>
        <v/>
      </c>
      <c r="B10" s="29" t="str">
        <f aca="false">IF($A10="","",SUMPRODUCT(('Knockout Picks'!$B8:$Q8=Results!$B$9:$Q$9)*(Results!$B$9:$Q$9&lt;&gt;""))*Settings!$B$10)</f>
        <v/>
      </c>
      <c r="C10" s="29" t="str">
        <f aca="false">IF($A10="","",SUMPRODUCT(('Knockout Picks'!$R8:$Y8=Results!$R$9:$Y$9)*(Results!$R$9:$Y$9&lt;&gt;""))*Settings!$B$11)</f>
        <v/>
      </c>
      <c r="D10" s="29" t="str">
        <f aca="false">IF($A10="","",SUMPRODUCT(('Knockout Picks'!$Z8:$AC8=Results!$Z$9:$AC$9)*(Results!$Z$9:$AC$9&lt;&gt;""))*Settings!$B$12)</f>
        <v/>
      </c>
      <c r="E10" s="29" t="str">
        <f aca="false">IF($A10="","",SUMPRODUCT(('Knockout Picks'!$AD8:$AE8=Results!$AD$9:$AE$9)*(Results!$AD$9:$AE$9&lt;&gt;""))*Settings!$B$13)</f>
        <v/>
      </c>
      <c r="F10" s="29" t="str">
        <f aca="false">IF($A10="","",SUMPRODUCT(('Knockout Picks'!$AF8=Results!$AF$9)*(Results!$AF$9&lt;&gt;""))*Settings!$B$14)</f>
        <v/>
      </c>
      <c r="G10" s="29" t="str">
        <f aca="false">IF($A10="","",SUM(B10:F10))</f>
        <v/>
      </c>
      <c r="H10" s="14" t="str">
        <f aca="false">IF($A10="","",RANK(G10,$G$4:$G$43,0))</f>
        <v/>
      </c>
    </row>
    <row r="11" customFormat="false" ht="15" hidden="false" customHeight="false" outlineLevel="0" collapsed="false">
      <c r="A11" s="15" t="str">
        <f aca="false">IF('Knockout Picks'!A9="","",'Knockout Picks'!A9)</f>
        <v/>
      </c>
      <c r="B11" s="29" t="str">
        <f aca="false">IF($A11="","",SUMPRODUCT(('Knockout Picks'!$B9:$Q9=Results!$B$9:$Q$9)*(Results!$B$9:$Q$9&lt;&gt;""))*Settings!$B$10)</f>
        <v/>
      </c>
      <c r="C11" s="29" t="str">
        <f aca="false">IF($A11="","",SUMPRODUCT(('Knockout Picks'!$R9:$Y9=Results!$R$9:$Y$9)*(Results!$R$9:$Y$9&lt;&gt;""))*Settings!$B$11)</f>
        <v/>
      </c>
      <c r="D11" s="29" t="str">
        <f aca="false">IF($A11="","",SUMPRODUCT(('Knockout Picks'!$Z9:$AC9=Results!$Z$9:$AC$9)*(Results!$Z$9:$AC$9&lt;&gt;""))*Settings!$B$12)</f>
        <v/>
      </c>
      <c r="E11" s="29" t="str">
        <f aca="false">IF($A11="","",SUMPRODUCT(('Knockout Picks'!$AD9:$AE9=Results!$AD$9:$AE$9)*(Results!$AD$9:$AE$9&lt;&gt;""))*Settings!$B$13)</f>
        <v/>
      </c>
      <c r="F11" s="29" t="str">
        <f aca="false">IF($A11="","",SUMPRODUCT(('Knockout Picks'!$AF9=Results!$AF$9)*(Results!$AF$9&lt;&gt;""))*Settings!$B$14)</f>
        <v/>
      </c>
      <c r="G11" s="29" t="str">
        <f aca="false">IF($A11="","",SUM(B11:F11))</f>
        <v/>
      </c>
      <c r="H11" s="14" t="str">
        <f aca="false">IF($A11="","",RANK(G11,$G$4:$G$43,0))</f>
        <v/>
      </c>
    </row>
    <row r="12" customFormat="false" ht="15" hidden="false" customHeight="false" outlineLevel="0" collapsed="false">
      <c r="A12" s="15" t="str">
        <f aca="false">IF('Knockout Picks'!A10="","",'Knockout Picks'!A10)</f>
        <v/>
      </c>
      <c r="B12" s="29" t="str">
        <f aca="false">IF($A12="","",SUMPRODUCT(('Knockout Picks'!$B10:$Q10=Results!$B$9:$Q$9)*(Results!$B$9:$Q$9&lt;&gt;""))*Settings!$B$10)</f>
        <v/>
      </c>
      <c r="C12" s="29" t="str">
        <f aca="false">IF($A12="","",SUMPRODUCT(('Knockout Picks'!$R10:$Y10=Results!$R$9:$Y$9)*(Results!$R$9:$Y$9&lt;&gt;""))*Settings!$B$11)</f>
        <v/>
      </c>
      <c r="D12" s="29" t="str">
        <f aca="false">IF($A12="","",SUMPRODUCT(('Knockout Picks'!$Z10:$AC10=Results!$Z$9:$AC$9)*(Results!$Z$9:$AC$9&lt;&gt;""))*Settings!$B$12)</f>
        <v/>
      </c>
      <c r="E12" s="29" t="str">
        <f aca="false">IF($A12="","",SUMPRODUCT(('Knockout Picks'!$AD10:$AE10=Results!$AD$9:$AE$9)*(Results!$AD$9:$AE$9&lt;&gt;""))*Settings!$B$13)</f>
        <v/>
      </c>
      <c r="F12" s="29" t="str">
        <f aca="false">IF($A12="","",SUMPRODUCT(('Knockout Picks'!$AF10=Results!$AF$9)*(Results!$AF$9&lt;&gt;""))*Settings!$B$14)</f>
        <v/>
      </c>
      <c r="G12" s="29" t="str">
        <f aca="false">IF($A12="","",SUM(B12:F12))</f>
        <v/>
      </c>
      <c r="H12" s="14" t="str">
        <f aca="false">IF($A12="","",RANK(G12,$G$4:$G$43,0))</f>
        <v/>
      </c>
    </row>
    <row r="13" customFormat="false" ht="15" hidden="false" customHeight="false" outlineLevel="0" collapsed="false">
      <c r="A13" s="15" t="str">
        <f aca="false">IF('Knockout Picks'!A11="","",'Knockout Picks'!A11)</f>
        <v/>
      </c>
      <c r="B13" s="29" t="str">
        <f aca="false">IF($A13="","",SUMPRODUCT(('Knockout Picks'!$B11:$Q11=Results!$B$9:$Q$9)*(Results!$B$9:$Q$9&lt;&gt;""))*Settings!$B$10)</f>
        <v/>
      </c>
      <c r="C13" s="29" t="str">
        <f aca="false">IF($A13="","",SUMPRODUCT(('Knockout Picks'!$R11:$Y11=Results!$R$9:$Y$9)*(Results!$R$9:$Y$9&lt;&gt;""))*Settings!$B$11)</f>
        <v/>
      </c>
      <c r="D13" s="29" t="str">
        <f aca="false">IF($A13="","",SUMPRODUCT(('Knockout Picks'!$Z11:$AC11=Results!$Z$9:$AC$9)*(Results!$Z$9:$AC$9&lt;&gt;""))*Settings!$B$12)</f>
        <v/>
      </c>
      <c r="E13" s="29" t="str">
        <f aca="false">IF($A13="","",SUMPRODUCT(('Knockout Picks'!$AD11:$AE11=Results!$AD$9:$AE$9)*(Results!$AD$9:$AE$9&lt;&gt;""))*Settings!$B$13)</f>
        <v/>
      </c>
      <c r="F13" s="29" t="str">
        <f aca="false">IF($A13="","",SUMPRODUCT(('Knockout Picks'!$AF11=Results!$AF$9)*(Results!$AF$9&lt;&gt;""))*Settings!$B$14)</f>
        <v/>
      </c>
      <c r="G13" s="29" t="str">
        <f aca="false">IF($A13="","",SUM(B13:F13))</f>
        <v/>
      </c>
      <c r="H13" s="14" t="str">
        <f aca="false">IF($A13="","",RANK(G13,$G$4:$G$43,0))</f>
        <v/>
      </c>
    </row>
    <row r="14" customFormat="false" ht="15" hidden="false" customHeight="false" outlineLevel="0" collapsed="false">
      <c r="A14" s="15" t="str">
        <f aca="false">IF('Knockout Picks'!A12="","",'Knockout Picks'!A12)</f>
        <v/>
      </c>
      <c r="B14" s="29" t="str">
        <f aca="false">IF($A14="","",SUMPRODUCT(('Knockout Picks'!$B12:$Q12=Results!$B$9:$Q$9)*(Results!$B$9:$Q$9&lt;&gt;""))*Settings!$B$10)</f>
        <v/>
      </c>
      <c r="C14" s="29" t="str">
        <f aca="false">IF($A14="","",SUMPRODUCT(('Knockout Picks'!$R12:$Y12=Results!$R$9:$Y$9)*(Results!$R$9:$Y$9&lt;&gt;""))*Settings!$B$11)</f>
        <v/>
      </c>
      <c r="D14" s="29" t="str">
        <f aca="false">IF($A14="","",SUMPRODUCT(('Knockout Picks'!$Z12:$AC12=Results!$Z$9:$AC$9)*(Results!$Z$9:$AC$9&lt;&gt;""))*Settings!$B$12)</f>
        <v/>
      </c>
      <c r="E14" s="29" t="str">
        <f aca="false">IF($A14="","",SUMPRODUCT(('Knockout Picks'!$AD12:$AE12=Results!$AD$9:$AE$9)*(Results!$AD$9:$AE$9&lt;&gt;""))*Settings!$B$13)</f>
        <v/>
      </c>
      <c r="F14" s="29" t="str">
        <f aca="false">IF($A14="","",SUMPRODUCT(('Knockout Picks'!$AF12=Results!$AF$9)*(Results!$AF$9&lt;&gt;""))*Settings!$B$14)</f>
        <v/>
      </c>
      <c r="G14" s="29" t="str">
        <f aca="false">IF($A14="","",SUM(B14:F14))</f>
        <v/>
      </c>
      <c r="H14" s="14" t="str">
        <f aca="false">IF($A14="","",RANK(G14,$G$4:$G$43,0))</f>
        <v/>
      </c>
    </row>
    <row r="15" customFormat="false" ht="15" hidden="false" customHeight="false" outlineLevel="0" collapsed="false">
      <c r="A15" s="15" t="str">
        <f aca="false">IF('Knockout Picks'!A13="","",'Knockout Picks'!A13)</f>
        <v/>
      </c>
      <c r="B15" s="29" t="str">
        <f aca="false">IF($A15="","",SUMPRODUCT(('Knockout Picks'!$B13:$Q13=Results!$B$9:$Q$9)*(Results!$B$9:$Q$9&lt;&gt;""))*Settings!$B$10)</f>
        <v/>
      </c>
      <c r="C15" s="29" t="str">
        <f aca="false">IF($A15="","",SUMPRODUCT(('Knockout Picks'!$R13:$Y13=Results!$R$9:$Y$9)*(Results!$R$9:$Y$9&lt;&gt;""))*Settings!$B$11)</f>
        <v/>
      </c>
      <c r="D15" s="29" t="str">
        <f aca="false">IF($A15="","",SUMPRODUCT(('Knockout Picks'!$Z13:$AC13=Results!$Z$9:$AC$9)*(Results!$Z$9:$AC$9&lt;&gt;""))*Settings!$B$12)</f>
        <v/>
      </c>
      <c r="E15" s="29" t="str">
        <f aca="false">IF($A15="","",SUMPRODUCT(('Knockout Picks'!$AD13:$AE13=Results!$AD$9:$AE$9)*(Results!$AD$9:$AE$9&lt;&gt;""))*Settings!$B$13)</f>
        <v/>
      </c>
      <c r="F15" s="29" t="str">
        <f aca="false">IF($A15="","",SUMPRODUCT(('Knockout Picks'!$AF13=Results!$AF$9)*(Results!$AF$9&lt;&gt;""))*Settings!$B$14)</f>
        <v/>
      </c>
      <c r="G15" s="29" t="str">
        <f aca="false">IF($A15="","",SUM(B15:F15))</f>
        <v/>
      </c>
      <c r="H15" s="14" t="str">
        <f aca="false">IF($A15="","",RANK(G15,$G$4:$G$43,0))</f>
        <v/>
      </c>
    </row>
    <row r="16" customFormat="false" ht="15" hidden="false" customHeight="false" outlineLevel="0" collapsed="false">
      <c r="A16" s="15" t="str">
        <f aca="false">IF('Knockout Picks'!A14="","",'Knockout Picks'!A14)</f>
        <v/>
      </c>
      <c r="B16" s="29" t="str">
        <f aca="false">IF($A16="","",SUMPRODUCT(('Knockout Picks'!$B14:$Q14=Results!$B$9:$Q$9)*(Results!$B$9:$Q$9&lt;&gt;""))*Settings!$B$10)</f>
        <v/>
      </c>
      <c r="C16" s="29" t="str">
        <f aca="false">IF($A16="","",SUMPRODUCT(('Knockout Picks'!$R14:$Y14=Results!$R$9:$Y$9)*(Results!$R$9:$Y$9&lt;&gt;""))*Settings!$B$11)</f>
        <v/>
      </c>
      <c r="D16" s="29" t="str">
        <f aca="false">IF($A16="","",SUMPRODUCT(('Knockout Picks'!$Z14:$AC14=Results!$Z$9:$AC$9)*(Results!$Z$9:$AC$9&lt;&gt;""))*Settings!$B$12)</f>
        <v/>
      </c>
      <c r="E16" s="29" t="str">
        <f aca="false">IF($A16="","",SUMPRODUCT(('Knockout Picks'!$AD14:$AE14=Results!$AD$9:$AE$9)*(Results!$AD$9:$AE$9&lt;&gt;""))*Settings!$B$13)</f>
        <v/>
      </c>
      <c r="F16" s="29" t="str">
        <f aca="false">IF($A16="","",SUMPRODUCT(('Knockout Picks'!$AF14=Results!$AF$9)*(Results!$AF$9&lt;&gt;""))*Settings!$B$14)</f>
        <v/>
      </c>
      <c r="G16" s="29" t="str">
        <f aca="false">IF($A16="","",SUM(B16:F16))</f>
        <v/>
      </c>
      <c r="H16" s="14" t="str">
        <f aca="false">IF($A16="","",RANK(G16,$G$4:$G$43,0))</f>
        <v/>
      </c>
    </row>
    <row r="17" customFormat="false" ht="15" hidden="false" customHeight="false" outlineLevel="0" collapsed="false">
      <c r="A17" s="15" t="str">
        <f aca="false">IF('Knockout Picks'!A15="","",'Knockout Picks'!A15)</f>
        <v/>
      </c>
      <c r="B17" s="29" t="str">
        <f aca="false">IF($A17="","",SUMPRODUCT(('Knockout Picks'!$B15:$Q15=Results!$B$9:$Q$9)*(Results!$B$9:$Q$9&lt;&gt;""))*Settings!$B$10)</f>
        <v/>
      </c>
      <c r="C17" s="29" t="str">
        <f aca="false">IF($A17="","",SUMPRODUCT(('Knockout Picks'!$R15:$Y15=Results!$R$9:$Y$9)*(Results!$R$9:$Y$9&lt;&gt;""))*Settings!$B$11)</f>
        <v/>
      </c>
      <c r="D17" s="29" t="str">
        <f aca="false">IF($A17="","",SUMPRODUCT(('Knockout Picks'!$Z15:$AC15=Results!$Z$9:$AC$9)*(Results!$Z$9:$AC$9&lt;&gt;""))*Settings!$B$12)</f>
        <v/>
      </c>
      <c r="E17" s="29" t="str">
        <f aca="false">IF($A17="","",SUMPRODUCT(('Knockout Picks'!$AD15:$AE15=Results!$AD$9:$AE$9)*(Results!$AD$9:$AE$9&lt;&gt;""))*Settings!$B$13)</f>
        <v/>
      </c>
      <c r="F17" s="29" t="str">
        <f aca="false">IF($A17="","",SUMPRODUCT(('Knockout Picks'!$AF15=Results!$AF$9)*(Results!$AF$9&lt;&gt;""))*Settings!$B$14)</f>
        <v/>
      </c>
      <c r="G17" s="29" t="str">
        <f aca="false">IF($A17="","",SUM(B17:F17))</f>
        <v/>
      </c>
      <c r="H17" s="14" t="str">
        <f aca="false">IF($A17="","",RANK(G17,$G$4:$G$43,0))</f>
        <v/>
      </c>
    </row>
    <row r="18" customFormat="false" ht="15" hidden="false" customHeight="false" outlineLevel="0" collapsed="false">
      <c r="A18" s="15" t="str">
        <f aca="false">IF('Knockout Picks'!A16="","",'Knockout Picks'!A16)</f>
        <v/>
      </c>
      <c r="B18" s="29" t="str">
        <f aca="false">IF($A18="","",SUMPRODUCT(('Knockout Picks'!$B16:$Q16=Results!$B$9:$Q$9)*(Results!$B$9:$Q$9&lt;&gt;""))*Settings!$B$10)</f>
        <v/>
      </c>
      <c r="C18" s="29" t="str">
        <f aca="false">IF($A18="","",SUMPRODUCT(('Knockout Picks'!$R16:$Y16=Results!$R$9:$Y$9)*(Results!$R$9:$Y$9&lt;&gt;""))*Settings!$B$11)</f>
        <v/>
      </c>
      <c r="D18" s="29" t="str">
        <f aca="false">IF($A18="","",SUMPRODUCT(('Knockout Picks'!$Z16:$AC16=Results!$Z$9:$AC$9)*(Results!$Z$9:$AC$9&lt;&gt;""))*Settings!$B$12)</f>
        <v/>
      </c>
      <c r="E18" s="29" t="str">
        <f aca="false">IF($A18="","",SUMPRODUCT(('Knockout Picks'!$AD16:$AE16=Results!$AD$9:$AE$9)*(Results!$AD$9:$AE$9&lt;&gt;""))*Settings!$B$13)</f>
        <v/>
      </c>
      <c r="F18" s="29" t="str">
        <f aca="false">IF($A18="","",SUMPRODUCT(('Knockout Picks'!$AF16=Results!$AF$9)*(Results!$AF$9&lt;&gt;""))*Settings!$B$14)</f>
        <v/>
      </c>
      <c r="G18" s="29" t="str">
        <f aca="false">IF($A18="","",SUM(B18:F18))</f>
        <v/>
      </c>
      <c r="H18" s="14" t="str">
        <f aca="false">IF($A18="","",RANK(G18,$G$4:$G$43,0))</f>
        <v/>
      </c>
    </row>
    <row r="19" customFormat="false" ht="15" hidden="false" customHeight="false" outlineLevel="0" collapsed="false">
      <c r="A19" s="15" t="str">
        <f aca="false">IF('Knockout Picks'!A17="","",'Knockout Picks'!A17)</f>
        <v/>
      </c>
      <c r="B19" s="29" t="str">
        <f aca="false">IF($A19="","",SUMPRODUCT(('Knockout Picks'!$B17:$Q17=Results!$B$9:$Q$9)*(Results!$B$9:$Q$9&lt;&gt;""))*Settings!$B$10)</f>
        <v/>
      </c>
      <c r="C19" s="29" t="str">
        <f aca="false">IF($A19="","",SUMPRODUCT(('Knockout Picks'!$R17:$Y17=Results!$R$9:$Y$9)*(Results!$R$9:$Y$9&lt;&gt;""))*Settings!$B$11)</f>
        <v/>
      </c>
      <c r="D19" s="29" t="str">
        <f aca="false">IF($A19="","",SUMPRODUCT(('Knockout Picks'!$Z17:$AC17=Results!$Z$9:$AC$9)*(Results!$Z$9:$AC$9&lt;&gt;""))*Settings!$B$12)</f>
        <v/>
      </c>
      <c r="E19" s="29" t="str">
        <f aca="false">IF($A19="","",SUMPRODUCT(('Knockout Picks'!$AD17:$AE17=Results!$AD$9:$AE$9)*(Results!$AD$9:$AE$9&lt;&gt;""))*Settings!$B$13)</f>
        <v/>
      </c>
      <c r="F19" s="29" t="str">
        <f aca="false">IF($A19="","",SUMPRODUCT(('Knockout Picks'!$AF17=Results!$AF$9)*(Results!$AF$9&lt;&gt;""))*Settings!$B$14)</f>
        <v/>
      </c>
      <c r="G19" s="29" t="str">
        <f aca="false">IF($A19="","",SUM(B19:F19))</f>
        <v/>
      </c>
      <c r="H19" s="14" t="str">
        <f aca="false">IF($A19="","",RANK(G19,$G$4:$G$43,0))</f>
        <v/>
      </c>
    </row>
    <row r="20" customFormat="false" ht="15" hidden="false" customHeight="false" outlineLevel="0" collapsed="false">
      <c r="A20" s="15" t="str">
        <f aca="false">IF('Knockout Picks'!A18="","",'Knockout Picks'!A18)</f>
        <v/>
      </c>
      <c r="B20" s="29" t="str">
        <f aca="false">IF($A20="","",SUMPRODUCT(('Knockout Picks'!$B18:$Q18=Results!$B$9:$Q$9)*(Results!$B$9:$Q$9&lt;&gt;""))*Settings!$B$10)</f>
        <v/>
      </c>
      <c r="C20" s="29" t="str">
        <f aca="false">IF($A20="","",SUMPRODUCT(('Knockout Picks'!$R18:$Y18=Results!$R$9:$Y$9)*(Results!$R$9:$Y$9&lt;&gt;""))*Settings!$B$11)</f>
        <v/>
      </c>
      <c r="D20" s="29" t="str">
        <f aca="false">IF($A20="","",SUMPRODUCT(('Knockout Picks'!$Z18:$AC18=Results!$Z$9:$AC$9)*(Results!$Z$9:$AC$9&lt;&gt;""))*Settings!$B$12)</f>
        <v/>
      </c>
      <c r="E20" s="29" t="str">
        <f aca="false">IF($A20="","",SUMPRODUCT(('Knockout Picks'!$AD18:$AE18=Results!$AD$9:$AE$9)*(Results!$AD$9:$AE$9&lt;&gt;""))*Settings!$B$13)</f>
        <v/>
      </c>
      <c r="F20" s="29" t="str">
        <f aca="false">IF($A20="","",SUMPRODUCT(('Knockout Picks'!$AF18=Results!$AF$9)*(Results!$AF$9&lt;&gt;""))*Settings!$B$14)</f>
        <v/>
      </c>
      <c r="G20" s="29" t="str">
        <f aca="false">IF($A20="","",SUM(B20:F20))</f>
        <v/>
      </c>
      <c r="H20" s="14" t="str">
        <f aca="false">IF($A20="","",RANK(G20,$G$4:$G$43,0))</f>
        <v/>
      </c>
    </row>
    <row r="21" customFormat="false" ht="15" hidden="false" customHeight="false" outlineLevel="0" collapsed="false">
      <c r="A21" s="15" t="str">
        <f aca="false">IF('Knockout Picks'!A19="","",'Knockout Picks'!A19)</f>
        <v/>
      </c>
      <c r="B21" s="29" t="str">
        <f aca="false">IF($A21="","",SUMPRODUCT(('Knockout Picks'!$B19:$Q19=Results!$B$9:$Q$9)*(Results!$B$9:$Q$9&lt;&gt;""))*Settings!$B$10)</f>
        <v/>
      </c>
      <c r="C21" s="29" t="str">
        <f aca="false">IF($A21="","",SUMPRODUCT(('Knockout Picks'!$R19:$Y19=Results!$R$9:$Y$9)*(Results!$R$9:$Y$9&lt;&gt;""))*Settings!$B$11)</f>
        <v/>
      </c>
      <c r="D21" s="29" t="str">
        <f aca="false">IF($A21="","",SUMPRODUCT(('Knockout Picks'!$Z19:$AC19=Results!$Z$9:$AC$9)*(Results!$Z$9:$AC$9&lt;&gt;""))*Settings!$B$12)</f>
        <v/>
      </c>
      <c r="E21" s="29" t="str">
        <f aca="false">IF($A21="","",SUMPRODUCT(('Knockout Picks'!$AD19:$AE19=Results!$AD$9:$AE$9)*(Results!$AD$9:$AE$9&lt;&gt;""))*Settings!$B$13)</f>
        <v/>
      </c>
      <c r="F21" s="29" t="str">
        <f aca="false">IF($A21="","",SUMPRODUCT(('Knockout Picks'!$AF19=Results!$AF$9)*(Results!$AF$9&lt;&gt;""))*Settings!$B$14)</f>
        <v/>
      </c>
      <c r="G21" s="29" t="str">
        <f aca="false">IF($A21="","",SUM(B21:F21))</f>
        <v/>
      </c>
      <c r="H21" s="14" t="str">
        <f aca="false">IF($A21="","",RANK(G21,$G$4:$G$43,0))</f>
        <v/>
      </c>
    </row>
    <row r="22" customFormat="false" ht="15" hidden="false" customHeight="false" outlineLevel="0" collapsed="false">
      <c r="A22" s="15" t="str">
        <f aca="false">IF('Knockout Picks'!A20="","",'Knockout Picks'!A20)</f>
        <v/>
      </c>
      <c r="B22" s="29" t="str">
        <f aca="false">IF($A22="","",SUMPRODUCT(('Knockout Picks'!$B20:$Q20=Results!$B$9:$Q$9)*(Results!$B$9:$Q$9&lt;&gt;""))*Settings!$B$10)</f>
        <v/>
      </c>
      <c r="C22" s="29" t="str">
        <f aca="false">IF($A22="","",SUMPRODUCT(('Knockout Picks'!$R20:$Y20=Results!$R$9:$Y$9)*(Results!$R$9:$Y$9&lt;&gt;""))*Settings!$B$11)</f>
        <v/>
      </c>
      <c r="D22" s="29" t="str">
        <f aca="false">IF($A22="","",SUMPRODUCT(('Knockout Picks'!$Z20:$AC20=Results!$Z$9:$AC$9)*(Results!$Z$9:$AC$9&lt;&gt;""))*Settings!$B$12)</f>
        <v/>
      </c>
      <c r="E22" s="29" t="str">
        <f aca="false">IF($A22="","",SUMPRODUCT(('Knockout Picks'!$AD20:$AE20=Results!$AD$9:$AE$9)*(Results!$AD$9:$AE$9&lt;&gt;""))*Settings!$B$13)</f>
        <v/>
      </c>
      <c r="F22" s="29" t="str">
        <f aca="false">IF($A22="","",SUMPRODUCT(('Knockout Picks'!$AF20=Results!$AF$9)*(Results!$AF$9&lt;&gt;""))*Settings!$B$14)</f>
        <v/>
      </c>
      <c r="G22" s="29" t="str">
        <f aca="false">IF($A22="","",SUM(B22:F22))</f>
        <v/>
      </c>
      <c r="H22" s="14" t="str">
        <f aca="false">IF($A22="","",RANK(G22,$G$4:$G$43,0))</f>
        <v/>
      </c>
    </row>
    <row r="23" customFormat="false" ht="15" hidden="false" customHeight="false" outlineLevel="0" collapsed="false">
      <c r="A23" s="15" t="str">
        <f aca="false">IF('Knockout Picks'!A21="","",'Knockout Picks'!A21)</f>
        <v/>
      </c>
      <c r="B23" s="29" t="str">
        <f aca="false">IF($A23="","",SUMPRODUCT(('Knockout Picks'!$B21:$Q21=Results!$B$9:$Q$9)*(Results!$B$9:$Q$9&lt;&gt;""))*Settings!$B$10)</f>
        <v/>
      </c>
      <c r="C23" s="29" t="str">
        <f aca="false">IF($A23="","",SUMPRODUCT(('Knockout Picks'!$R21:$Y21=Results!$R$9:$Y$9)*(Results!$R$9:$Y$9&lt;&gt;""))*Settings!$B$11)</f>
        <v/>
      </c>
      <c r="D23" s="29" t="str">
        <f aca="false">IF($A23="","",SUMPRODUCT(('Knockout Picks'!$Z21:$AC21=Results!$Z$9:$AC$9)*(Results!$Z$9:$AC$9&lt;&gt;""))*Settings!$B$12)</f>
        <v/>
      </c>
      <c r="E23" s="29" t="str">
        <f aca="false">IF($A23="","",SUMPRODUCT(('Knockout Picks'!$AD21:$AE21=Results!$AD$9:$AE$9)*(Results!$AD$9:$AE$9&lt;&gt;""))*Settings!$B$13)</f>
        <v/>
      </c>
      <c r="F23" s="29" t="str">
        <f aca="false">IF($A23="","",SUMPRODUCT(('Knockout Picks'!$AF21=Results!$AF$9)*(Results!$AF$9&lt;&gt;""))*Settings!$B$14)</f>
        <v/>
      </c>
      <c r="G23" s="29" t="str">
        <f aca="false">IF($A23="","",SUM(B23:F23))</f>
        <v/>
      </c>
      <c r="H23" s="14" t="str">
        <f aca="false">IF($A23="","",RANK(G23,$G$4:$G$43,0))</f>
        <v/>
      </c>
    </row>
    <row r="24" customFormat="false" ht="15" hidden="false" customHeight="false" outlineLevel="0" collapsed="false">
      <c r="A24" s="15" t="str">
        <f aca="false">IF('Knockout Picks'!A22="","",'Knockout Picks'!A22)</f>
        <v/>
      </c>
      <c r="B24" s="29" t="str">
        <f aca="false">IF($A24="","",SUMPRODUCT(('Knockout Picks'!$B22:$Q22=Results!$B$9:$Q$9)*(Results!$B$9:$Q$9&lt;&gt;""))*Settings!$B$10)</f>
        <v/>
      </c>
      <c r="C24" s="29" t="str">
        <f aca="false">IF($A24="","",SUMPRODUCT(('Knockout Picks'!$R22:$Y22=Results!$R$9:$Y$9)*(Results!$R$9:$Y$9&lt;&gt;""))*Settings!$B$11)</f>
        <v/>
      </c>
      <c r="D24" s="29" t="str">
        <f aca="false">IF($A24="","",SUMPRODUCT(('Knockout Picks'!$Z22:$AC22=Results!$Z$9:$AC$9)*(Results!$Z$9:$AC$9&lt;&gt;""))*Settings!$B$12)</f>
        <v/>
      </c>
      <c r="E24" s="29" t="str">
        <f aca="false">IF($A24="","",SUMPRODUCT(('Knockout Picks'!$AD22:$AE22=Results!$AD$9:$AE$9)*(Results!$AD$9:$AE$9&lt;&gt;""))*Settings!$B$13)</f>
        <v/>
      </c>
      <c r="F24" s="29" t="str">
        <f aca="false">IF($A24="","",SUMPRODUCT(('Knockout Picks'!$AF22=Results!$AF$9)*(Results!$AF$9&lt;&gt;""))*Settings!$B$14)</f>
        <v/>
      </c>
      <c r="G24" s="29" t="str">
        <f aca="false">IF($A24="","",SUM(B24:F24))</f>
        <v/>
      </c>
      <c r="H24" s="14" t="str">
        <f aca="false">IF($A24="","",RANK(G24,$G$4:$G$43,0))</f>
        <v/>
      </c>
    </row>
    <row r="25" customFormat="false" ht="15" hidden="false" customHeight="false" outlineLevel="0" collapsed="false">
      <c r="A25" s="15" t="str">
        <f aca="false">IF('Knockout Picks'!A23="","",'Knockout Picks'!A23)</f>
        <v/>
      </c>
      <c r="B25" s="29" t="str">
        <f aca="false">IF($A25="","",SUMPRODUCT(('Knockout Picks'!$B23:$Q23=Results!$B$9:$Q$9)*(Results!$B$9:$Q$9&lt;&gt;""))*Settings!$B$10)</f>
        <v/>
      </c>
      <c r="C25" s="29" t="str">
        <f aca="false">IF($A25="","",SUMPRODUCT(('Knockout Picks'!$R23:$Y23=Results!$R$9:$Y$9)*(Results!$R$9:$Y$9&lt;&gt;""))*Settings!$B$11)</f>
        <v/>
      </c>
      <c r="D25" s="29" t="str">
        <f aca="false">IF($A25="","",SUMPRODUCT(('Knockout Picks'!$Z23:$AC23=Results!$Z$9:$AC$9)*(Results!$Z$9:$AC$9&lt;&gt;""))*Settings!$B$12)</f>
        <v/>
      </c>
      <c r="E25" s="29" t="str">
        <f aca="false">IF($A25="","",SUMPRODUCT(('Knockout Picks'!$AD23:$AE23=Results!$AD$9:$AE$9)*(Results!$AD$9:$AE$9&lt;&gt;""))*Settings!$B$13)</f>
        <v/>
      </c>
      <c r="F25" s="29" t="str">
        <f aca="false">IF($A25="","",SUMPRODUCT(('Knockout Picks'!$AF23=Results!$AF$9)*(Results!$AF$9&lt;&gt;""))*Settings!$B$14)</f>
        <v/>
      </c>
      <c r="G25" s="29" t="str">
        <f aca="false">IF($A25="","",SUM(B25:F25))</f>
        <v/>
      </c>
      <c r="H25" s="14" t="str">
        <f aca="false">IF($A25="","",RANK(G25,$G$4:$G$43,0))</f>
        <v/>
      </c>
    </row>
    <row r="26" customFormat="false" ht="15" hidden="false" customHeight="false" outlineLevel="0" collapsed="false">
      <c r="A26" s="15" t="str">
        <f aca="false">IF('Knockout Picks'!A24="","",'Knockout Picks'!A24)</f>
        <v/>
      </c>
      <c r="B26" s="29" t="str">
        <f aca="false">IF($A26="","",SUMPRODUCT(('Knockout Picks'!$B24:$Q24=Results!$B$9:$Q$9)*(Results!$B$9:$Q$9&lt;&gt;""))*Settings!$B$10)</f>
        <v/>
      </c>
      <c r="C26" s="29" t="str">
        <f aca="false">IF($A26="","",SUMPRODUCT(('Knockout Picks'!$R24:$Y24=Results!$R$9:$Y$9)*(Results!$R$9:$Y$9&lt;&gt;""))*Settings!$B$11)</f>
        <v/>
      </c>
      <c r="D26" s="29" t="str">
        <f aca="false">IF($A26="","",SUMPRODUCT(('Knockout Picks'!$Z24:$AC24=Results!$Z$9:$AC$9)*(Results!$Z$9:$AC$9&lt;&gt;""))*Settings!$B$12)</f>
        <v/>
      </c>
      <c r="E26" s="29" t="str">
        <f aca="false">IF($A26="","",SUMPRODUCT(('Knockout Picks'!$AD24:$AE24=Results!$AD$9:$AE$9)*(Results!$AD$9:$AE$9&lt;&gt;""))*Settings!$B$13)</f>
        <v/>
      </c>
      <c r="F26" s="29" t="str">
        <f aca="false">IF($A26="","",SUMPRODUCT(('Knockout Picks'!$AF24=Results!$AF$9)*(Results!$AF$9&lt;&gt;""))*Settings!$B$14)</f>
        <v/>
      </c>
      <c r="G26" s="29" t="str">
        <f aca="false">IF($A26="","",SUM(B26:F26))</f>
        <v/>
      </c>
      <c r="H26" s="14" t="str">
        <f aca="false">IF($A26="","",RANK(G26,$G$4:$G$43,0))</f>
        <v/>
      </c>
    </row>
    <row r="27" customFormat="false" ht="15" hidden="false" customHeight="false" outlineLevel="0" collapsed="false">
      <c r="A27" s="15" t="str">
        <f aca="false">IF('Knockout Picks'!A25="","",'Knockout Picks'!A25)</f>
        <v/>
      </c>
      <c r="B27" s="29" t="str">
        <f aca="false">IF($A27="","",SUMPRODUCT(('Knockout Picks'!$B25:$Q25=Results!$B$9:$Q$9)*(Results!$B$9:$Q$9&lt;&gt;""))*Settings!$B$10)</f>
        <v/>
      </c>
      <c r="C27" s="29" t="str">
        <f aca="false">IF($A27="","",SUMPRODUCT(('Knockout Picks'!$R25:$Y25=Results!$R$9:$Y$9)*(Results!$R$9:$Y$9&lt;&gt;""))*Settings!$B$11)</f>
        <v/>
      </c>
      <c r="D27" s="29" t="str">
        <f aca="false">IF($A27="","",SUMPRODUCT(('Knockout Picks'!$Z25:$AC25=Results!$Z$9:$AC$9)*(Results!$Z$9:$AC$9&lt;&gt;""))*Settings!$B$12)</f>
        <v/>
      </c>
      <c r="E27" s="29" t="str">
        <f aca="false">IF($A27="","",SUMPRODUCT(('Knockout Picks'!$AD25:$AE25=Results!$AD$9:$AE$9)*(Results!$AD$9:$AE$9&lt;&gt;""))*Settings!$B$13)</f>
        <v/>
      </c>
      <c r="F27" s="29" t="str">
        <f aca="false">IF($A27="","",SUMPRODUCT(('Knockout Picks'!$AF25=Results!$AF$9)*(Results!$AF$9&lt;&gt;""))*Settings!$B$14)</f>
        <v/>
      </c>
      <c r="G27" s="29" t="str">
        <f aca="false">IF($A27="","",SUM(B27:F27))</f>
        <v/>
      </c>
      <c r="H27" s="14" t="str">
        <f aca="false">IF($A27="","",RANK(G27,$G$4:$G$43,0))</f>
        <v/>
      </c>
    </row>
    <row r="28" customFormat="false" ht="15" hidden="false" customHeight="false" outlineLevel="0" collapsed="false">
      <c r="A28" s="15" t="str">
        <f aca="false">IF('Knockout Picks'!A26="","",'Knockout Picks'!A26)</f>
        <v/>
      </c>
      <c r="B28" s="29" t="str">
        <f aca="false">IF($A28="","",SUMPRODUCT(('Knockout Picks'!$B26:$Q26=Results!$B$9:$Q$9)*(Results!$B$9:$Q$9&lt;&gt;""))*Settings!$B$10)</f>
        <v/>
      </c>
      <c r="C28" s="29" t="str">
        <f aca="false">IF($A28="","",SUMPRODUCT(('Knockout Picks'!$R26:$Y26=Results!$R$9:$Y$9)*(Results!$R$9:$Y$9&lt;&gt;""))*Settings!$B$11)</f>
        <v/>
      </c>
      <c r="D28" s="29" t="str">
        <f aca="false">IF($A28="","",SUMPRODUCT(('Knockout Picks'!$Z26:$AC26=Results!$Z$9:$AC$9)*(Results!$Z$9:$AC$9&lt;&gt;""))*Settings!$B$12)</f>
        <v/>
      </c>
      <c r="E28" s="29" t="str">
        <f aca="false">IF($A28="","",SUMPRODUCT(('Knockout Picks'!$AD26:$AE26=Results!$AD$9:$AE$9)*(Results!$AD$9:$AE$9&lt;&gt;""))*Settings!$B$13)</f>
        <v/>
      </c>
      <c r="F28" s="29" t="str">
        <f aca="false">IF($A28="","",SUMPRODUCT(('Knockout Picks'!$AF26=Results!$AF$9)*(Results!$AF$9&lt;&gt;""))*Settings!$B$14)</f>
        <v/>
      </c>
      <c r="G28" s="29" t="str">
        <f aca="false">IF($A28="","",SUM(B28:F28))</f>
        <v/>
      </c>
      <c r="H28" s="14" t="str">
        <f aca="false">IF($A28="","",RANK(G28,$G$4:$G$43,0))</f>
        <v/>
      </c>
    </row>
    <row r="29" customFormat="false" ht="15" hidden="false" customHeight="false" outlineLevel="0" collapsed="false">
      <c r="A29" s="15" t="str">
        <f aca="false">IF('Knockout Picks'!A27="","",'Knockout Picks'!A27)</f>
        <v/>
      </c>
      <c r="B29" s="29" t="str">
        <f aca="false">IF($A29="","",SUMPRODUCT(('Knockout Picks'!$B27:$Q27=Results!$B$9:$Q$9)*(Results!$B$9:$Q$9&lt;&gt;""))*Settings!$B$10)</f>
        <v/>
      </c>
      <c r="C29" s="29" t="str">
        <f aca="false">IF($A29="","",SUMPRODUCT(('Knockout Picks'!$R27:$Y27=Results!$R$9:$Y$9)*(Results!$R$9:$Y$9&lt;&gt;""))*Settings!$B$11)</f>
        <v/>
      </c>
      <c r="D29" s="29" t="str">
        <f aca="false">IF($A29="","",SUMPRODUCT(('Knockout Picks'!$Z27:$AC27=Results!$Z$9:$AC$9)*(Results!$Z$9:$AC$9&lt;&gt;""))*Settings!$B$12)</f>
        <v/>
      </c>
      <c r="E29" s="29" t="str">
        <f aca="false">IF($A29="","",SUMPRODUCT(('Knockout Picks'!$AD27:$AE27=Results!$AD$9:$AE$9)*(Results!$AD$9:$AE$9&lt;&gt;""))*Settings!$B$13)</f>
        <v/>
      </c>
      <c r="F29" s="29" t="str">
        <f aca="false">IF($A29="","",SUMPRODUCT(('Knockout Picks'!$AF27=Results!$AF$9)*(Results!$AF$9&lt;&gt;""))*Settings!$B$14)</f>
        <v/>
      </c>
      <c r="G29" s="29" t="str">
        <f aca="false">IF($A29="","",SUM(B29:F29))</f>
        <v/>
      </c>
      <c r="H29" s="14" t="str">
        <f aca="false">IF($A29="","",RANK(G29,$G$4:$G$43,0))</f>
        <v/>
      </c>
    </row>
    <row r="30" customFormat="false" ht="15" hidden="false" customHeight="false" outlineLevel="0" collapsed="false">
      <c r="A30" s="15" t="str">
        <f aca="false">IF('Knockout Picks'!A28="","",'Knockout Picks'!A28)</f>
        <v/>
      </c>
      <c r="B30" s="29" t="str">
        <f aca="false">IF($A30="","",SUMPRODUCT(('Knockout Picks'!$B28:$Q28=Results!$B$9:$Q$9)*(Results!$B$9:$Q$9&lt;&gt;""))*Settings!$B$10)</f>
        <v/>
      </c>
      <c r="C30" s="29" t="str">
        <f aca="false">IF($A30="","",SUMPRODUCT(('Knockout Picks'!$R28:$Y28=Results!$R$9:$Y$9)*(Results!$R$9:$Y$9&lt;&gt;""))*Settings!$B$11)</f>
        <v/>
      </c>
      <c r="D30" s="29" t="str">
        <f aca="false">IF($A30="","",SUMPRODUCT(('Knockout Picks'!$Z28:$AC28=Results!$Z$9:$AC$9)*(Results!$Z$9:$AC$9&lt;&gt;""))*Settings!$B$12)</f>
        <v/>
      </c>
      <c r="E30" s="29" t="str">
        <f aca="false">IF($A30="","",SUMPRODUCT(('Knockout Picks'!$AD28:$AE28=Results!$AD$9:$AE$9)*(Results!$AD$9:$AE$9&lt;&gt;""))*Settings!$B$13)</f>
        <v/>
      </c>
      <c r="F30" s="29" t="str">
        <f aca="false">IF($A30="","",SUMPRODUCT(('Knockout Picks'!$AF28=Results!$AF$9)*(Results!$AF$9&lt;&gt;""))*Settings!$B$14)</f>
        <v/>
      </c>
      <c r="G30" s="29" t="str">
        <f aca="false">IF($A30="","",SUM(B30:F30))</f>
        <v/>
      </c>
      <c r="H30" s="14" t="str">
        <f aca="false">IF($A30="","",RANK(G30,$G$4:$G$43,0))</f>
        <v/>
      </c>
    </row>
    <row r="31" customFormat="false" ht="15" hidden="false" customHeight="false" outlineLevel="0" collapsed="false">
      <c r="A31" s="15" t="str">
        <f aca="false">IF('Knockout Picks'!A29="","",'Knockout Picks'!A29)</f>
        <v/>
      </c>
      <c r="B31" s="29" t="str">
        <f aca="false">IF($A31="","",SUMPRODUCT(('Knockout Picks'!$B29:$Q29=Results!$B$9:$Q$9)*(Results!$B$9:$Q$9&lt;&gt;""))*Settings!$B$10)</f>
        <v/>
      </c>
      <c r="C31" s="29" t="str">
        <f aca="false">IF($A31="","",SUMPRODUCT(('Knockout Picks'!$R29:$Y29=Results!$R$9:$Y$9)*(Results!$R$9:$Y$9&lt;&gt;""))*Settings!$B$11)</f>
        <v/>
      </c>
      <c r="D31" s="29" t="str">
        <f aca="false">IF($A31="","",SUMPRODUCT(('Knockout Picks'!$Z29:$AC29=Results!$Z$9:$AC$9)*(Results!$Z$9:$AC$9&lt;&gt;""))*Settings!$B$12)</f>
        <v/>
      </c>
      <c r="E31" s="29" t="str">
        <f aca="false">IF($A31="","",SUMPRODUCT(('Knockout Picks'!$AD29:$AE29=Results!$AD$9:$AE$9)*(Results!$AD$9:$AE$9&lt;&gt;""))*Settings!$B$13)</f>
        <v/>
      </c>
      <c r="F31" s="29" t="str">
        <f aca="false">IF($A31="","",SUMPRODUCT(('Knockout Picks'!$AF29=Results!$AF$9)*(Results!$AF$9&lt;&gt;""))*Settings!$B$14)</f>
        <v/>
      </c>
      <c r="G31" s="29" t="str">
        <f aca="false">IF($A31="","",SUM(B31:F31))</f>
        <v/>
      </c>
      <c r="H31" s="14" t="str">
        <f aca="false">IF($A31="","",RANK(G31,$G$4:$G$43,0))</f>
        <v/>
      </c>
    </row>
    <row r="32" customFormat="false" ht="15" hidden="false" customHeight="false" outlineLevel="0" collapsed="false">
      <c r="A32" s="15" t="str">
        <f aca="false">IF('Knockout Picks'!A30="","",'Knockout Picks'!A30)</f>
        <v/>
      </c>
      <c r="B32" s="29" t="str">
        <f aca="false">IF($A32="","",SUMPRODUCT(('Knockout Picks'!$B30:$Q30=Results!$B$9:$Q$9)*(Results!$B$9:$Q$9&lt;&gt;""))*Settings!$B$10)</f>
        <v/>
      </c>
      <c r="C32" s="29" t="str">
        <f aca="false">IF($A32="","",SUMPRODUCT(('Knockout Picks'!$R30:$Y30=Results!$R$9:$Y$9)*(Results!$R$9:$Y$9&lt;&gt;""))*Settings!$B$11)</f>
        <v/>
      </c>
      <c r="D32" s="29" t="str">
        <f aca="false">IF($A32="","",SUMPRODUCT(('Knockout Picks'!$Z30:$AC30=Results!$Z$9:$AC$9)*(Results!$Z$9:$AC$9&lt;&gt;""))*Settings!$B$12)</f>
        <v/>
      </c>
      <c r="E32" s="29" t="str">
        <f aca="false">IF($A32="","",SUMPRODUCT(('Knockout Picks'!$AD30:$AE30=Results!$AD$9:$AE$9)*(Results!$AD$9:$AE$9&lt;&gt;""))*Settings!$B$13)</f>
        <v/>
      </c>
      <c r="F32" s="29" t="str">
        <f aca="false">IF($A32="","",SUMPRODUCT(('Knockout Picks'!$AF30=Results!$AF$9)*(Results!$AF$9&lt;&gt;""))*Settings!$B$14)</f>
        <v/>
      </c>
      <c r="G32" s="29" t="str">
        <f aca="false">IF($A32="","",SUM(B32:F32))</f>
        <v/>
      </c>
      <c r="H32" s="14" t="str">
        <f aca="false">IF($A32="","",RANK(G32,$G$4:$G$43,0))</f>
        <v/>
      </c>
    </row>
    <row r="33" customFormat="false" ht="15" hidden="false" customHeight="false" outlineLevel="0" collapsed="false">
      <c r="A33" s="15" t="str">
        <f aca="false">IF('Knockout Picks'!A31="","",'Knockout Picks'!A31)</f>
        <v/>
      </c>
      <c r="B33" s="29" t="str">
        <f aca="false">IF($A33="","",SUMPRODUCT(('Knockout Picks'!$B31:$Q31=Results!$B$9:$Q$9)*(Results!$B$9:$Q$9&lt;&gt;""))*Settings!$B$10)</f>
        <v/>
      </c>
      <c r="C33" s="29" t="str">
        <f aca="false">IF($A33="","",SUMPRODUCT(('Knockout Picks'!$R31:$Y31=Results!$R$9:$Y$9)*(Results!$R$9:$Y$9&lt;&gt;""))*Settings!$B$11)</f>
        <v/>
      </c>
      <c r="D33" s="29" t="str">
        <f aca="false">IF($A33="","",SUMPRODUCT(('Knockout Picks'!$Z31:$AC31=Results!$Z$9:$AC$9)*(Results!$Z$9:$AC$9&lt;&gt;""))*Settings!$B$12)</f>
        <v/>
      </c>
      <c r="E33" s="29" t="str">
        <f aca="false">IF($A33="","",SUMPRODUCT(('Knockout Picks'!$AD31:$AE31=Results!$AD$9:$AE$9)*(Results!$AD$9:$AE$9&lt;&gt;""))*Settings!$B$13)</f>
        <v/>
      </c>
      <c r="F33" s="29" t="str">
        <f aca="false">IF($A33="","",SUMPRODUCT(('Knockout Picks'!$AF31=Results!$AF$9)*(Results!$AF$9&lt;&gt;""))*Settings!$B$14)</f>
        <v/>
      </c>
      <c r="G33" s="29" t="str">
        <f aca="false">IF($A33="","",SUM(B33:F33))</f>
        <v/>
      </c>
      <c r="H33" s="14" t="str">
        <f aca="false">IF($A33="","",RANK(G33,$G$4:$G$43,0))</f>
        <v/>
      </c>
    </row>
    <row r="34" customFormat="false" ht="15" hidden="false" customHeight="false" outlineLevel="0" collapsed="false">
      <c r="A34" s="15" t="str">
        <f aca="false">IF('Knockout Picks'!A32="","",'Knockout Picks'!A32)</f>
        <v/>
      </c>
      <c r="B34" s="29" t="str">
        <f aca="false">IF($A34="","",SUMPRODUCT(('Knockout Picks'!$B32:$Q32=Results!$B$9:$Q$9)*(Results!$B$9:$Q$9&lt;&gt;""))*Settings!$B$10)</f>
        <v/>
      </c>
      <c r="C34" s="29" t="str">
        <f aca="false">IF($A34="","",SUMPRODUCT(('Knockout Picks'!$R32:$Y32=Results!$R$9:$Y$9)*(Results!$R$9:$Y$9&lt;&gt;""))*Settings!$B$11)</f>
        <v/>
      </c>
      <c r="D34" s="29" t="str">
        <f aca="false">IF($A34="","",SUMPRODUCT(('Knockout Picks'!$Z32:$AC32=Results!$Z$9:$AC$9)*(Results!$Z$9:$AC$9&lt;&gt;""))*Settings!$B$12)</f>
        <v/>
      </c>
      <c r="E34" s="29" t="str">
        <f aca="false">IF($A34="","",SUMPRODUCT(('Knockout Picks'!$AD32:$AE32=Results!$AD$9:$AE$9)*(Results!$AD$9:$AE$9&lt;&gt;""))*Settings!$B$13)</f>
        <v/>
      </c>
      <c r="F34" s="29" t="str">
        <f aca="false">IF($A34="","",SUMPRODUCT(('Knockout Picks'!$AF32=Results!$AF$9)*(Results!$AF$9&lt;&gt;""))*Settings!$B$14)</f>
        <v/>
      </c>
      <c r="G34" s="29" t="str">
        <f aca="false">IF($A34="","",SUM(B34:F34))</f>
        <v/>
      </c>
      <c r="H34" s="14" t="str">
        <f aca="false">IF($A34="","",RANK(G34,$G$4:$G$43,0))</f>
        <v/>
      </c>
    </row>
    <row r="35" customFormat="false" ht="15" hidden="false" customHeight="false" outlineLevel="0" collapsed="false">
      <c r="A35" s="15" t="str">
        <f aca="false">IF('Knockout Picks'!A33="","",'Knockout Picks'!A33)</f>
        <v/>
      </c>
      <c r="B35" s="29" t="str">
        <f aca="false">IF($A35="","",SUMPRODUCT(('Knockout Picks'!$B33:$Q33=Results!$B$9:$Q$9)*(Results!$B$9:$Q$9&lt;&gt;""))*Settings!$B$10)</f>
        <v/>
      </c>
      <c r="C35" s="29" t="str">
        <f aca="false">IF($A35="","",SUMPRODUCT(('Knockout Picks'!$R33:$Y33=Results!$R$9:$Y$9)*(Results!$R$9:$Y$9&lt;&gt;""))*Settings!$B$11)</f>
        <v/>
      </c>
      <c r="D35" s="29" t="str">
        <f aca="false">IF($A35="","",SUMPRODUCT(('Knockout Picks'!$Z33:$AC33=Results!$Z$9:$AC$9)*(Results!$Z$9:$AC$9&lt;&gt;""))*Settings!$B$12)</f>
        <v/>
      </c>
      <c r="E35" s="29" t="str">
        <f aca="false">IF($A35="","",SUMPRODUCT(('Knockout Picks'!$AD33:$AE33=Results!$AD$9:$AE$9)*(Results!$AD$9:$AE$9&lt;&gt;""))*Settings!$B$13)</f>
        <v/>
      </c>
      <c r="F35" s="29" t="str">
        <f aca="false">IF($A35="","",SUMPRODUCT(('Knockout Picks'!$AF33=Results!$AF$9)*(Results!$AF$9&lt;&gt;""))*Settings!$B$14)</f>
        <v/>
      </c>
      <c r="G35" s="29" t="str">
        <f aca="false">IF($A35="","",SUM(B35:F35))</f>
        <v/>
      </c>
      <c r="H35" s="14" t="str">
        <f aca="false">IF($A35="","",RANK(G35,$G$4:$G$43,0))</f>
        <v/>
      </c>
    </row>
    <row r="36" customFormat="false" ht="15" hidden="false" customHeight="false" outlineLevel="0" collapsed="false">
      <c r="A36" s="15" t="str">
        <f aca="false">IF('Knockout Picks'!A34="","",'Knockout Picks'!A34)</f>
        <v/>
      </c>
      <c r="B36" s="29" t="str">
        <f aca="false">IF($A36="","",SUMPRODUCT(('Knockout Picks'!$B34:$Q34=Results!$B$9:$Q$9)*(Results!$B$9:$Q$9&lt;&gt;""))*Settings!$B$10)</f>
        <v/>
      </c>
      <c r="C36" s="29" t="str">
        <f aca="false">IF($A36="","",SUMPRODUCT(('Knockout Picks'!$R34:$Y34=Results!$R$9:$Y$9)*(Results!$R$9:$Y$9&lt;&gt;""))*Settings!$B$11)</f>
        <v/>
      </c>
      <c r="D36" s="29" t="str">
        <f aca="false">IF($A36="","",SUMPRODUCT(('Knockout Picks'!$Z34:$AC34=Results!$Z$9:$AC$9)*(Results!$Z$9:$AC$9&lt;&gt;""))*Settings!$B$12)</f>
        <v/>
      </c>
      <c r="E36" s="29" t="str">
        <f aca="false">IF($A36="","",SUMPRODUCT(('Knockout Picks'!$AD34:$AE34=Results!$AD$9:$AE$9)*(Results!$AD$9:$AE$9&lt;&gt;""))*Settings!$B$13)</f>
        <v/>
      </c>
      <c r="F36" s="29" t="str">
        <f aca="false">IF($A36="","",SUMPRODUCT(('Knockout Picks'!$AF34=Results!$AF$9)*(Results!$AF$9&lt;&gt;""))*Settings!$B$14)</f>
        <v/>
      </c>
      <c r="G36" s="29" t="str">
        <f aca="false">IF($A36="","",SUM(B36:F36))</f>
        <v/>
      </c>
      <c r="H36" s="14" t="str">
        <f aca="false">IF($A36="","",RANK(G36,$G$4:$G$43,0))</f>
        <v/>
      </c>
    </row>
    <row r="37" customFormat="false" ht="15" hidden="false" customHeight="false" outlineLevel="0" collapsed="false">
      <c r="A37" s="15" t="str">
        <f aca="false">IF('Knockout Picks'!A35="","",'Knockout Picks'!A35)</f>
        <v/>
      </c>
      <c r="B37" s="29" t="str">
        <f aca="false">IF($A37="","",SUMPRODUCT(('Knockout Picks'!$B35:$Q35=Results!$B$9:$Q$9)*(Results!$B$9:$Q$9&lt;&gt;""))*Settings!$B$10)</f>
        <v/>
      </c>
      <c r="C37" s="29" t="str">
        <f aca="false">IF($A37="","",SUMPRODUCT(('Knockout Picks'!$R35:$Y35=Results!$R$9:$Y$9)*(Results!$R$9:$Y$9&lt;&gt;""))*Settings!$B$11)</f>
        <v/>
      </c>
      <c r="D37" s="29" t="str">
        <f aca="false">IF($A37="","",SUMPRODUCT(('Knockout Picks'!$Z35:$AC35=Results!$Z$9:$AC$9)*(Results!$Z$9:$AC$9&lt;&gt;""))*Settings!$B$12)</f>
        <v/>
      </c>
      <c r="E37" s="29" t="str">
        <f aca="false">IF($A37="","",SUMPRODUCT(('Knockout Picks'!$AD35:$AE35=Results!$AD$9:$AE$9)*(Results!$AD$9:$AE$9&lt;&gt;""))*Settings!$B$13)</f>
        <v/>
      </c>
      <c r="F37" s="29" t="str">
        <f aca="false">IF($A37="","",SUMPRODUCT(('Knockout Picks'!$AF35=Results!$AF$9)*(Results!$AF$9&lt;&gt;""))*Settings!$B$14)</f>
        <v/>
      </c>
      <c r="G37" s="29" t="str">
        <f aca="false">IF($A37="","",SUM(B37:F37))</f>
        <v/>
      </c>
      <c r="H37" s="14" t="str">
        <f aca="false">IF($A37="","",RANK(G37,$G$4:$G$43,0))</f>
        <v/>
      </c>
    </row>
    <row r="38" customFormat="false" ht="15" hidden="false" customHeight="false" outlineLevel="0" collapsed="false">
      <c r="A38" s="15" t="str">
        <f aca="false">IF('Knockout Picks'!A36="","",'Knockout Picks'!A36)</f>
        <v/>
      </c>
      <c r="B38" s="29" t="str">
        <f aca="false">IF($A38="","",SUMPRODUCT(('Knockout Picks'!$B36:$Q36=Results!$B$9:$Q$9)*(Results!$B$9:$Q$9&lt;&gt;""))*Settings!$B$10)</f>
        <v/>
      </c>
      <c r="C38" s="29" t="str">
        <f aca="false">IF($A38="","",SUMPRODUCT(('Knockout Picks'!$R36:$Y36=Results!$R$9:$Y$9)*(Results!$R$9:$Y$9&lt;&gt;""))*Settings!$B$11)</f>
        <v/>
      </c>
      <c r="D38" s="29" t="str">
        <f aca="false">IF($A38="","",SUMPRODUCT(('Knockout Picks'!$Z36:$AC36=Results!$Z$9:$AC$9)*(Results!$Z$9:$AC$9&lt;&gt;""))*Settings!$B$12)</f>
        <v/>
      </c>
      <c r="E38" s="29" t="str">
        <f aca="false">IF($A38="","",SUMPRODUCT(('Knockout Picks'!$AD36:$AE36=Results!$AD$9:$AE$9)*(Results!$AD$9:$AE$9&lt;&gt;""))*Settings!$B$13)</f>
        <v/>
      </c>
      <c r="F38" s="29" t="str">
        <f aca="false">IF($A38="","",SUMPRODUCT(('Knockout Picks'!$AF36=Results!$AF$9)*(Results!$AF$9&lt;&gt;""))*Settings!$B$14)</f>
        <v/>
      </c>
      <c r="G38" s="29" t="str">
        <f aca="false">IF($A38="","",SUM(B38:F38))</f>
        <v/>
      </c>
      <c r="H38" s="14" t="str">
        <f aca="false">IF($A38="","",RANK(G38,$G$4:$G$43,0))</f>
        <v/>
      </c>
    </row>
    <row r="39" customFormat="false" ht="15" hidden="false" customHeight="false" outlineLevel="0" collapsed="false">
      <c r="A39" s="15" t="str">
        <f aca="false">IF('Knockout Picks'!A37="","",'Knockout Picks'!A37)</f>
        <v/>
      </c>
      <c r="B39" s="29" t="str">
        <f aca="false">IF($A39="","",SUMPRODUCT(('Knockout Picks'!$B37:$Q37=Results!$B$9:$Q$9)*(Results!$B$9:$Q$9&lt;&gt;""))*Settings!$B$10)</f>
        <v/>
      </c>
      <c r="C39" s="29" t="str">
        <f aca="false">IF($A39="","",SUMPRODUCT(('Knockout Picks'!$R37:$Y37=Results!$R$9:$Y$9)*(Results!$R$9:$Y$9&lt;&gt;""))*Settings!$B$11)</f>
        <v/>
      </c>
      <c r="D39" s="29" t="str">
        <f aca="false">IF($A39="","",SUMPRODUCT(('Knockout Picks'!$Z37:$AC37=Results!$Z$9:$AC$9)*(Results!$Z$9:$AC$9&lt;&gt;""))*Settings!$B$12)</f>
        <v/>
      </c>
      <c r="E39" s="29" t="str">
        <f aca="false">IF($A39="","",SUMPRODUCT(('Knockout Picks'!$AD37:$AE37=Results!$AD$9:$AE$9)*(Results!$AD$9:$AE$9&lt;&gt;""))*Settings!$B$13)</f>
        <v/>
      </c>
      <c r="F39" s="29" t="str">
        <f aca="false">IF($A39="","",SUMPRODUCT(('Knockout Picks'!$AF37=Results!$AF$9)*(Results!$AF$9&lt;&gt;""))*Settings!$B$14)</f>
        <v/>
      </c>
      <c r="G39" s="29" t="str">
        <f aca="false">IF($A39="","",SUM(B39:F39))</f>
        <v/>
      </c>
      <c r="H39" s="14" t="str">
        <f aca="false">IF($A39="","",RANK(G39,$G$4:$G$43,0))</f>
        <v/>
      </c>
    </row>
    <row r="40" customFormat="false" ht="15" hidden="false" customHeight="false" outlineLevel="0" collapsed="false">
      <c r="A40" s="15" t="str">
        <f aca="false">IF('Knockout Picks'!A38="","",'Knockout Picks'!A38)</f>
        <v/>
      </c>
      <c r="B40" s="29" t="str">
        <f aca="false">IF($A40="","",SUMPRODUCT(('Knockout Picks'!$B38:$Q38=Results!$B$9:$Q$9)*(Results!$B$9:$Q$9&lt;&gt;""))*Settings!$B$10)</f>
        <v/>
      </c>
      <c r="C40" s="29" t="str">
        <f aca="false">IF($A40="","",SUMPRODUCT(('Knockout Picks'!$R38:$Y38=Results!$R$9:$Y$9)*(Results!$R$9:$Y$9&lt;&gt;""))*Settings!$B$11)</f>
        <v/>
      </c>
      <c r="D40" s="29" t="str">
        <f aca="false">IF($A40="","",SUMPRODUCT(('Knockout Picks'!$Z38:$AC38=Results!$Z$9:$AC$9)*(Results!$Z$9:$AC$9&lt;&gt;""))*Settings!$B$12)</f>
        <v/>
      </c>
      <c r="E40" s="29" t="str">
        <f aca="false">IF($A40="","",SUMPRODUCT(('Knockout Picks'!$AD38:$AE38=Results!$AD$9:$AE$9)*(Results!$AD$9:$AE$9&lt;&gt;""))*Settings!$B$13)</f>
        <v/>
      </c>
      <c r="F40" s="29" t="str">
        <f aca="false">IF($A40="","",SUMPRODUCT(('Knockout Picks'!$AF38=Results!$AF$9)*(Results!$AF$9&lt;&gt;""))*Settings!$B$14)</f>
        <v/>
      </c>
      <c r="G40" s="29" t="str">
        <f aca="false">IF($A40="","",SUM(B40:F40))</f>
        <v/>
      </c>
      <c r="H40" s="14" t="str">
        <f aca="false">IF($A40="","",RANK(G40,$G$4:$G$43,0))</f>
        <v/>
      </c>
    </row>
    <row r="41" customFormat="false" ht="15" hidden="false" customHeight="false" outlineLevel="0" collapsed="false">
      <c r="A41" s="15" t="str">
        <f aca="false">IF('Knockout Picks'!A39="","",'Knockout Picks'!A39)</f>
        <v/>
      </c>
      <c r="B41" s="29" t="str">
        <f aca="false">IF($A41="","",SUMPRODUCT(('Knockout Picks'!$B39:$Q39=Results!$B$9:$Q$9)*(Results!$B$9:$Q$9&lt;&gt;""))*Settings!$B$10)</f>
        <v/>
      </c>
      <c r="C41" s="29" t="str">
        <f aca="false">IF($A41="","",SUMPRODUCT(('Knockout Picks'!$R39:$Y39=Results!$R$9:$Y$9)*(Results!$R$9:$Y$9&lt;&gt;""))*Settings!$B$11)</f>
        <v/>
      </c>
      <c r="D41" s="29" t="str">
        <f aca="false">IF($A41="","",SUMPRODUCT(('Knockout Picks'!$Z39:$AC39=Results!$Z$9:$AC$9)*(Results!$Z$9:$AC$9&lt;&gt;""))*Settings!$B$12)</f>
        <v/>
      </c>
      <c r="E41" s="29" t="str">
        <f aca="false">IF($A41="","",SUMPRODUCT(('Knockout Picks'!$AD39:$AE39=Results!$AD$9:$AE$9)*(Results!$AD$9:$AE$9&lt;&gt;""))*Settings!$B$13)</f>
        <v/>
      </c>
      <c r="F41" s="29" t="str">
        <f aca="false">IF($A41="","",SUMPRODUCT(('Knockout Picks'!$AF39=Results!$AF$9)*(Results!$AF$9&lt;&gt;""))*Settings!$B$14)</f>
        <v/>
      </c>
      <c r="G41" s="29" t="str">
        <f aca="false">IF($A41="","",SUM(B41:F41))</f>
        <v/>
      </c>
      <c r="H41" s="14" t="str">
        <f aca="false">IF($A41="","",RANK(G41,$G$4:$G$43,0))</f>
        <v/>
      </c>
    </row>
    <row r="42" customFormat="false" ht="15" hidden="false" customHeight="false" outlineLevel="0" collapsed="false">
      <c r="A42" s="15" t="str">
        <f aca="false">IF('Knockout Picks'!A40="","",'Knockout Picks'!A40)</f>
        <v/>
      </c>
      <c r="B42" s="29" t="str">
        <f aca="false">IF($A42="","",SUMPRODUCT(('Knockout Picks'!$B40:$Q40=Results!$B$9:$Q$9)*(Results!$B$9:$Q$9&lt;&gt;""))*Settings!$B$10)</f>
        <v/>
      </c>
      <c r="C42" s="29" t="str">
        <f aca="false">IF($A42="","",SUMPRODUCT(('Knockout Picks'!$R40:$Y40=Results!$R$9:$Y$9)*(Results!$R$9:$Y$9&lt;&gt;""))*Settings!$B$11)</f>
        <v/>
      </c>
      <c r="D42" s="29" t="str">
        <f aca="false">IF($A42="","",SUMPRODUCT(('Knockout Picks'!$Z40:$AC40=Results!$Z$9:$AC$9)*(Results!$Z$9:$AC$9&lt;&gt;""))*Settings!$B$12)</f>
        <v/>
      </c>
      <c r="E42" s="29" t="str">
        <f aca="false">IF($A42="","",SUMPRODUCT(('Knockout Picks'!$AD40:$AE40=Results!$AD$9:$AE$9)*(Results!$AD$9:$AE$9&lt;&gt;""))*Settings!$B$13)</f>
        <v/>
      </c>
      <c r="F42" s="29" t="str">
        <f aca="false">IF($A42="","",SUMPRODUCT(('Knockout Picks'!$AF40=Results!$AF$9)*(Results!$AF$9&lt;&gt;""))*Settings!$B$14)</f>
        <v/>
      </c>
      <c r="G42" s="29" t="str">
        <f aca="false">IF($A42="","",SUM(B42:F42))</f>
        <v/>
      </c>
      <c r="H42" s="14" t="str">
        <f aca="false">IF($A42="","",RANK(G42,$G$4:$G$43,0))</f>
        <v/>
      </c>
    </row>
    <row r="43" customFormat="false" ht="15" hidden="false" customHeight="false" outlineLevel="0" collapsed="false">
      <c r="A43" s="15" t="str">
        <f aca="false">IF('Knockout Picks'!A41="","",'Knockout Picks'!A41)</f>
        <v/>
      </c>
      <c r="B43" s="29" t="str">
        <f aca="false">IF($A43="","",SUMPRODUCT(('Knockout Picks'!$B41:$Q41=Results!$B$9:$Q$9)*(Results!$B$9:$Q$9&lt;&gt;""))*Settings!$B$10)</f>
        <v/>
      </c>
      <c r="C43" s="29" t="str">
        <f aca="false">IF($A43="","",SUMPRODUCT(('Knockout Picks'!$R41:$Y41=Results!$R$9:$Y$9)*(Results!$R$9:$Y$9&lt;&gt;""))*Settings!$B$11)</f>
        <v/>
      </c>
      <c r="D43" s="29" t="str">
        <f aca="false">IF($A43="","",SUMPRODUCT(('Knockout Picks'!$Z41:$AC41=Results!$Z$9:$AC$9)*(Results!$Z$9:$AC$9&lt;&gt;""))*Settings!$B$12)</f>
        <v/>
      </c>
      <c r="E43" s="29" t="str">
        <f aca="false">IF($A43="","",SUMPRODUCT(('Knockout Picks'!$AD41:$AE41=Results!$AD$9:$AE$9)*(Results!$AD$9:$AE$9&lt;&gt;""))*Settings!$B$13)</f>
        <v/>
      </c>
      <c r="F43" s="29" t="str">
        <f aca="false">IF($A43="","",SUMPRODUCT(('Knockout Picks'!$AF41=Results!$AF$9)*(Results!$AF$9&lt;&gt;""))*Settings!$B$14)</f>
        <v/>
      </c>
      <c r="G43" s="29" t="str">
        <f aca="false">IF($A43="","",SUM(B43:F43))</f>
        <v/>
      </c>
      <c r="H43" s="14" t="str">
        <f aca="false">IF($A43="","",RANK(G43,$G$4:$G$43,0))</f>
        <v/>
      </c>
    </row>
    <row r="45" customFormat="false" ht="15" hidden="false" customHeight="false" outlineLevel="0" collapsed="false">
      <c r="A45" s="30" t="s">
        <v>177</v>
      </c>
      <c r="B45" s="31" t="str">
        <f aca="false">IF(SUM($G$4:$G$43)=0,"TBD",INDEX($A$4:$A$43,MATCH(MAX($G$4:$G$43),$G$4:$G$43,0)))</f>
        <v>Alice (sample)</v>
      </c>
      <c r="C45" s="5" t="str">
        <f aca="false">IF(SUM($G$4:$G$43)=0,"",MAX($G$4:$G$43)&amp;" pts")</f>
        <v>80 pts</v>
      </c>
    </row>
    <row r="47" customFormat="false" ht="15" hidden="false" customHeight="false" outlineLevel="0" collapsed="false">
      <c r="A47" s="9" t="s">
        <v>178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14"/>
  </cols>
  <sheetData>
    <row r="1" customFormat="false" ht="17.35" hidden="false" customHeight="false" outlineLevel="0" collapsed="false">
      <c r="A1" s="1" t="s">
        <v>179</v>
      </c>
      <c r="B1" s="1"/>
      <c r="C1" s="1"/>
    </row>
    <row r="3" customFormat="false" ht="15" hidden="false" customHeight="false" outlineLevel="0" collapsed="false">
      <c r="A3" s="6" t="s">
        <v>180</v>
      </c>
      <c r="B3" s="6"/>
      <c r="C3" s="6"/>
    </row>
    <row r="4" customFormat="false" ht="15" hidden="false" customHeight="false" outlineLevel="0" collapsed="false">
      <c r="A4" s="7" t="s">
        <v>181</v>
      </c>
      <c r="B4" s="29" t="n">
        <f aca="false">COUNTA('Group Picks'!A2:A41)</f>
        <v>3</v>
      </c>
    </row>
    <row r="5" customFormat="false" ht="15" hidden="false" customHeight="false" outlineLevel="0" collapsed="false">
      <c r="A5" s="25" t="s">
        <v>47</v>
      </c>
      <c r="B5" s="32" t="n">
        <f aca="false">B4*Settings!$B$18</f>
        <v>60</v>
      </c>
    </row>
    <row r="6" customFormat="false" ht="15" hidden="false" customHeight="false" outlineLevel="0" collapsed="false">
      <c r="A6" s="7" t="s">
        <v>182</v>
      </c>
      <c r="B6" s="29" t="n">
        <f aca="false">COUNTA('Knockout Picks'!A2:A41)</f>
        <v>3</v>
      </c>
    </row>
    <row r="7" customFormat="false" ht="15" hidden="false" customHeight="false" outlineLevel="0" collapsed="false">
      <c r="A7" s="25" t="s">
        <v>49</v>
      </c>
      <c r="B7" s="32" t="n">
        <f aca="false">B6*Settings!$B$19</f>
        <v>60</v>
      </c>
    </row>
    <row r="9" customFormat="false" ht="15" hidden="false" customHeight="false" outlineLevel="0" collapsed="false">
      <c r="A9" s="6" t="s">
        <v>183</v>
      </c>
      <c r="B9" s="6"/>
      <c r="C9" s="6"/>
    </row>
    <row r="10" customFormat="false" ht="15" hidden="false" customHeight="false" outlineLevel="0" collapsed="false">
      <c r="A10" s="13" t="s">
        <v>184</v>
      </c>
      <c r="B10" s="13" t="s">
        <v>185</v>
      </c>
      <c r="C10" s="13" t="s">
        <v>186</v>
      </c>
    </row>
    <row r="11" customFormat="false" ht="15" hidden="false" customHeight="false" outlineLevel="0" collapsed="false">
      <c r="A11" s="15" t="s">
        <v>187</v>
      </c>
      <c r="B11" s="33" t="str">
        <f aca="false">IF(COUNTA('Group Leaderboard'!$A$4:$A$43)=0,"TBD",IFERROR(INDEX('Group Leaderboard'!$A$4:$A$43,MATCH(1,'Group Leaderboard'!$G$4:$G$43,0)),"TBD"))</f>
        <v>Alice (sample)</v>
      </c>
      <c r="C11" s="32" t="n">
        <f aca="false">B5</f>
        <v>60</v>
      </c>
    </row>
    <row r="12" customFormat="false" ht="15" hidden="false" customHeight="false" outlineLevel="0" collapsed="false">
      <c r="A12" s="15" t="s">
        <v>188</v>
      </c>
      <c r="B12" s="33" t="str">
        <f aca="false">'Knockout Leaderboard'!B45</f>
        <v>Alice (sample)</v>
      </c>
      <c r="C12" s="32" t="n">
        <f aca="false">B7</f>
        <v>60</v>
      </c>
    </row>
    <row r="13" customFormat="false" ht="15" hidden="false" customHeight="false" outlineLevel="0" collapsed="false">
      <c r="A13" s="34" t="s">
        <v>189</v>
      </c>
      <c r="B13" s="35"/>
      <c r="C13" s="32" t="n">
        <f aca="false">C11+C12</f>
        <v>120</v>
      </c>
    </row>
    <row r="15" customFormat="false" ht="15" hidden="false" customHeight="false" outlineLevel="0" collapsed="false">
      <c r="A15" s="9" t="s">
        <v>190</v>
      </c>
    </row>
  </sheetData>
  <mergeCells count="3">
    <mergeCell ref="A1:C1"/>
    <mergeCell ref="A3:C3"/>
    <mergeCell ref="A9:C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2026-06-01T04:02:19Z</dcterms:created>
  <dc:creator>openpyxl</dc:creator>
  <dc:description/>
  <dc:language>en-US</dc:language>
  <cp:lastModifiedBy/>
  <dcterms:modified xsi:type="dcterms:W3CDTF">2026-06-01T04:02:19Z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